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VMe SMART Summary" sheetId="1" state="visible" r:id="rId3"/>
    <sheet name="Overview" sheetId="2" state="visible" r:id="rId4"/>
    <sheet name="Full Details" sheetId="3" state="visible" r:id="rId5"/>
  </sheets>
  <definedNames>
    <definedName function="false" hidden="true" localSheetId="2" name="_xlnm._FilterDatabase" vbProcedure="false">'Full Details'!$A$1:$S$144</definedName>
    <definedName function="false" hidden="true" localSheetId="0" name="_xlnm._FilterDatabase" vbProcedure="false">'NVMe SMART Summary'!$A$4:$K$147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<sst xmlns="http://schemas.openxmlformats.org/spreadsheetml/2006/main" count="3214" uniqueCount="480">
  <si>
    <t xml:space="preserve">NVMe SSD Health Status Report</t>
  </si>
  <si>
    <t xml:space="preserve">Source: smartctl output, 143 NVMe drives across 6 hosts  |  Generated 2026-05-25</t>
  </si>
  <si>
    <t xml:space="preserve">Hostname</t>
  </si>
  <si>
    <t xml:space="preserve">NVME Device</t>
  </si>
  <si>
    <t xml:space="preserve">Model Number</t>
  </si>
  <si>
    <t xml:space="preserve">Capacity</t>
  </si>
  <si>
    <t xml:space="preserve">TBW (Terabytes Written)</t>
  </si>
  <si>
    <t xml:space="preserve">Endurance Used</t>
  </si>
  <si>
    <t xml:space="preserve">Write Endurance (Life Remaining)</t>
  </si>
  <si>
    <t xml:space="preserve">Available Spare</t>
  </si>
  <si>
    <t xml:space="preserve">Disk Health</t>
  </si>
  <si>
    <t xml:space="preserve">Summary</t>
  </si>
  <si>
    <t xml:space="preserve">Notes</t>
  </si>
  <si>
    <t xml:space="preserve">zs-storage01</t>
  </si>
  <si>
    <t xml:space="preserve">nvme0n1</t>
  </si>
  <si>
    <t xml:space="preserve">Dell Express Flash NVMe P4610 3.2TB SFF</t>
  </si>
  <si>
    <t xml:space="preserve">3.20 TB</t>
  </si>
  <si>
    <t xml:space="preserve">PASSED</t>
  </si>
  <si>
    <t xml:space="preserve">Good</t>
  </si>
  <si>
    <t xml:space="preserve">All indicators nominal</t>
  </si>
  <si>
    <t xml:space="preserve">nvme1n1</t>
  </si>
  <si>
    <t xml:space="preserve">nvme2n1</t>
  </si>
  <si>
    <t xml:space="preserve">nvme3n1</t>
  </si>
  <si>
    <t xml:space="preserve">nvme4n1</t>
  </si>
  <si>
    <t xml:space="preserve">nvme5n1</t>
  </si>
  <si>
    <t xml:space="preserve">nvme6n1</t>
  </si>
  <si>
    <t xml:space="preserve">nvme7n1</t>
  </si>
  <si>
    <t xml:space="preserve">nvme8n1</t>
  </si>
  <si>
    <t xml:space="preserve">nvme9n1</t>
  </si>
  <si>
    <t xml:space="preserve">nvme10n1</t>
  </si>
  <si>
    <t xml:space="preserve">nvme11n1</t>
  </si>
  <si>
    <t xml:space="preserve">nvme12n1</t>
  </si>
  <si>
    <t xml:space="preserve">nvme13n1</t>
  </si>
  <si>
    <t xml:space="preserve">nvme14n1</t>
  </si>
  <si>
    <t xml:space="preserve">nvme15n1</t>
  </si>
  <si>
    <t xml:space="preserve">nvme16n1</t>
  </si>
  <si>
    <t xml:space="preserve">nvme17n1</t>
  </si>
  <si>
    <t xml:space="preserve">nvme19n1</t>
  </si>
  <si>
    <t xml:space="preserve">nvme20n1</t>
  </si>
  <si>
    <t xml:space="preserve">nvme21n1</t>
  </si>
  <si>
    <t xml:space="preserve">nvme22n1</t>
  </si>
  <si>
    <t xml:space="preserve">nvme23n1</t>
  </si>
  <si>
    <t xml:space="preserve">zs-storage02</t>
  </si>
  <si>
    <t xml:space="preserve">Dell Express Flash NVMe SM1715 3.2TB SFF</t>
  </si>
  <si>
    <t xml:space="preserve">Warning</t>
  </si>
  <si>
    <t xml:space="preserve">Available Spare reduced to 78% (NAND wear)</t>
  </si>
  <si>
    <t xml:space="preserve">Available Spare reduced to 80% (NAND wear)</t>
  </si>
  <si>
    <t xml:space="preserve">Available Spare reduced to 81% (NAND wear)</t>
  </si>
  <si>
    <t xml:space="preserve">Available Spare reduced to 82% (NAND wear)</t>
  </si>
  <si>
    <t xml:space="preserve">nvme18n1</t>
  </si>
  <si>
    <t xml:space="preserve">Available Spare reduced to 77% (NAND wear)</t>
  </si>
  <si>
    <t xml:space="preserve">Available Spare reduced to 73% (NAND wear)</t>
  </si>
  <si>
    <t xml:space="preserve">zs-storage03</t>
  </si>
  <si>
    <t xml:space="preserve">Dell Ent NVMe CM6 MU 3.2TB</t>
  </si>
  <si>
    <t xml:space="preserve">Available Spare reduced to 68% (NAND wear)</t>
  </si>
  <si>
    <t xml:space="preserve">Available Spare reduced to 75% (NAND wear)</t>
  </si>
  <si>
    <t xml:space="preserve">Dell Express Flash PM1725b 3.2TB SFF</t>
  </si>
  <si>
    <t xml:space="preserve">zs-storage04</t>
  </si>
  <si>
    <t xml:space="preserve">zs-storage05</t>
  </si>
  <si>
    <t xml:space="preserve">zs-storage06</t>
  </si>
  <si>
    <t xml:space="preserve">Fleet Health Overview</t>
  </si>
  <si>
    <t xml:space="preserve">NVMe SSD SMART assessment summary</t>
  </si>
  <si>
    <t xml:space="preserve">Health Classification</t>
  </si>
  <si>
    <t xml:space="preserve">Total NVMe drives assessed</t>
  </si>
  <si>
    <t xml:space="preserve">Not good</t>
  </si>
  <si>
    <t xml:space="preserve">SMART Self-Assessment</t>
  </si>
  <si>
    <t xml:space="preserve">FAILED</t>
  </si>
  <si>
    <t xml:space="preserve">Capacity Written (Fleet)</t>
  </si>
  <si>
    <t xml:space="preserve">Total TBW across all drives</t>
  </si>
  <si>
    <t xml:space="preserve">Average TBW per drive</t>
  </si>
  <si>
    <t xml:space="preserve">Highest TBW on a single drive</t>
  </si>
  <si>
    <t xml:space="preserve">Drives by Model</t>
  </si>
  <si>
    <t xml:space="preserve">Drives by Host (Warnings)</t>
  </si>
  <si>
    <t xml:space="preserve">Host</t>
  </si>
  <si>
    <t xml:space="preserve">Drives</t>
  </si>
  <si>
    <t xml:space="preserve">Warnings</t>
  </si>
  <si>
    <t xml:space="preserve">Key Findings</t>
  </si>
  <si>
    <t xml:space="preserve">All 143 drives PASSED the SMART overall-health self-assessment.</t>
  </si>
  <si>
    <t xml:space="preserve">No critical warning flags, media errors, or data-integrity errors detected.</t>
  </si>
  <si>
    <t xml:space="preserve">12 Samsung SM1715 drives flagged Warning: Available Spare has</t>
  </si>
  <si>
    <t xml:space="preserve">   dropped to 68-82% (vs. 99-100% on peer drives) - early NAND wear.</t>
  </si>
  <si>
    <t xml:space="preserve">Endurance use remains low: max 4% used on the most-written drives.</t>
  </si>
  <si>
    <t xml:space="preserve">Action: monitor the SM1715 drives; plan replacement if spare keeps falling.</t>
  </si>
  <si>
    <t xml:space="preserve">Serial Number</t>
  </si>
  <si>
    <t xml:space="preserve">Firmware</t>
  </si>
  <si>
    <t xml:space="preserve">TBW</t>
  </si>
  <si>
    <t xml:space="preserve">Data Read</t>
  </si>
  <si>
    <t xml:space="preserve">Available Spare Threshold</t>
  </si>
  <si>
    <t xml:space="preserve">Power On Hours</t>
  </si>
  <si>
    <t xml:space="preserve">Temperature</t>
  </si>
  <si>
    <t xml:space="preserve">Critical Warning</t>
  </si>
  <si>
    <t xml:space="preserve">Media/Data Errors</t>
  </si>
  <si>
    <t xml:space="preserve">Error Log Entries</t>
  </si>
  <si>
    <t xml:space="preserve">Unsafe Shutdowns</t>
  </si>
  <si>
    <t xml:space="preserve">PHLN042101FD3P2BGN</t>
  </si>
  <si>
    <t xml:space="preserve">VDV1DP23</t>
  </si>
  <si>
    <t xml:space="preserve">528 TB</t>
  </si>
  <si>
    <t xml:space="preserve">341 TB</t>
  </si>
  <si>
    <t xml:space="preserve">4%</t>
  </si>
  <si>
    <t xml:space="preserve">99%</t>
  </si>
  <si>
    <t xml:space="preserve">10%</t>
  </si>
  <si>
    <t xml:space="preserve">30 Celsius</t>
  </si>
  <si>
    <t xml:space="preserve">0x00</t>
  </si>
  <si>
    <t xml:space="preserve">PHLN035201QN3P2BGN</t>
  </si>
  <si>
    <t xml:space="preserve">429 TB</t>
  </si>
  <si>
    <t xml:space="preserve">245 TB</t>
  </si>
  <si>
    <t xml:space="preserve">3%</t>
  </si>
  <si>
    <t xml:space="preserve">100%</t>
  </si>
  <si>
    <t xml:space="preserve">PHLN043400GT3P2BGN</t>
  </si>
  <si>
    <t xml:space="preserve">459 TB</t>
  </si>
  <si>
    <t xml:space="preserve">261 TB</t>
  </si>
  <si>
    <t xml:space="preserve">PHLN0433009R3P2BGN</t>
  </si>
  <si>
    <t xml:space="preserve">229 TB</t>
  </si>
  <si>
    <t xml:space="preserve">PHLN043300D63P2BGN</t>
  </si>
  <si>
    <t xml:space="preserve">524 TB</t>
  </si>
  <si>
    <t xml:space="preserve">276 TB</t>
  </si>
  <si>
    <t xml:space="preserve">PHLN035200853P2BGN</t>
  </si>
  <si>
    <t xml:space="preserve">492 TB</t>
  </si>
  <si>
    <t xml:space="preserve">271 TB</t>
  </si>
  <si>
    <t xml:space="preserve">PHLN035200843P2BGN</t>
  </si>
  <si>
    <t xml:space="preserve">444 TB</t>
  </si>
  <si>
    <t xml:space="preserve">274 TB</t>
  </si>
  <si>
    <t xml:space="preserve">PHLN043401M73P2BGN</t>
  </si>
  <si>
    <t xml:space="preserve">471 TB</t>
  </si>
  <si>
    <t xml:space="preserve">200 TB</t>
  </si>
  <si>
    <t xml:space="preserve">PHLN0434013T3P2BGN</t>
  </si>
  <si>
    <t xml:space="preserve">413 TB</t>
  </si>
  <si>
    <t xml:space="preserve">188 TB</t>
  </si>
  <si>
    <t xml:space="preserve">33 Celsius</t>
  </si>
  <si>
    <t xml:space="preserve">PHLN042101JH3P2BGN</t>
  </si>
  <si>
    <t xml:space="preserve">403 TB</t>
  </si>
  <si>
    <t xml:space="preserve">223 TB</t>
  </si>
  <si>
    <t xml:space="preserve">31 Celsius</t>
  </si>
  <si>
    <t xml:space="preserve">PHLN043400YP3P2BGN</t>
  </si>
  <si>
    <t xml:space="preserve">489 TB</t>
  </si>
  <si>
    <t xml:space="preserve">237 TB</t>
  </si>
  <si>
    <t xml:space="preserve">PHLN035200QE3P2BGN</t>
  </si>
  <si>
    <t xml:space="preserve">208 TB</t>
  </si>
  <si>
    <t xml:space="preserve">34.4 TB</t>
  </si>
  <si>
    <t xml:space="preserve">1%</t>
  </si>
  <si>
    <t xml:space="preserve">PHLN034200093P2BGN</t>
  </si>
  <si>
    <t xml:space="preserve">241 TB</t>
  </si>
  <si>
    <t xml:space="preserve">42.5 TB</t>
  </si>
  <si>
    <t xml:space="preserve">PHLN042101F73P2BGN</t>
  </si>
  <si>
    <t xml:space="preserve">365 TB</t>
  </si>
  <si>
    <t xml:space="preserve">113 TB</t>
  </si>
  <si>
    <t xml:space="preserve">2%</t>
  </si>
  <si>
    <t xml:space="preserve">PHLN035200RY3P2BGN</t>
  </si>
  <si>
    <t xml:space="preserve">472 TB</t>
  </si>
  <si>
    <t xml:space="preserve">270 TB</t>
  </si>
  <si>
    <t xml:space="preserve">PHLN0421011C3P2BGN</t>
  </si>
  <si>
    <t xml:space="preserve">443 TB</t>
  </si>
  <si>
    <t xml:space="preserve">232 TB</t>
  </si>
  <si>
    <t xml:space="preserve">35 Celsius</t>
  </si>
  <si>
    <t xml:space="preserve">PHLN042101GB3P2BGN</t>
  </si>
  <si>
    <t xml:space="preserve">493 TB</t>
  </si>
  <si>
    <t xml:space="preserve">203 TB</t>
  </si>
  <si>
    <t xml:space="preserve">PHLN043401LQ3P2BGN</t>
  </si>
  <si>
    <t xml:space="preserve">468 TB</t>
  </si>
  <si>
    <t xml:space="preserve">252 TB</t>
  </si>
  <si>
    <t xml:space="preserve">PHLN0352017Q3P2BGN</t>
  </si>
  <si>
    <t xml:space="preserve">437 TB</t>
  </si>
  <si>
    <t xml:space="preserve">257 TB</t>
  </si>
  <si>
    <t xml:space="preserve">PHLN035200QD3P2BGN</t>
  </si>
  <si>
    <t xml:space="preserve">282 TB</t>
  </si>
  <si>
    <t xml:space="preserve">238 TB</t>
  </si>
  <si>
    <t xml:space="preserve">PHLN0352017B3P2BGN</t>
  </si>
  <si>
    <t xml:space="preserve">506 TB</t>
  </si>
  <si>
    <t xml:space="preserve">258 TB</t>
  </si>
  <si>
    <t xml:space="preserve">PHLN027400WH3P2BGN</t>
  </si>
  <si>
    <t xml:space="preserve">458 TB</t>
  </si>
  <si>
    <t xml:space="preserve">249 TB</t>
  </si>
  <si>
    <t xml:space="preserve">PHLN0341001D3P2BGN</t>
  </si>
  <si>
    <t xml:space="preserve">194 TB</t>
  </si>
  <si>
    <t xml:space="preserve">40.6 TB</t>
  </si>
  <si>
    <t xml:space="preserve">S294NYAH500182</t>
  </si>
  <si>
    <t xml:space="preserve">IPV0AD3Q</t>
  </si>
  <si>
    <t xml:space="preserve">731 TB</t>
  </si>
  <si>
    <t xml:space="preserve">0%</t>
  </si>
  <si>
    <t xml:space="preserve">78%</t>
  </si>
  <si>
    <t xml:space="preserve">32 Celsius</t>
  </si>
  <si>
    <t xml:space="preserve">S294NYAGC00325</t>
  </si>
  <si>
    <t xml:space="preserve">254 TB</t>
  </si>
  <si>
    <t xml:space="preserve">32.5 TB</t>
  </si>
  <si>
    <t xml:space="preserve">S294NYAH500174</t>
  </si>
  <si>
    <t xml:space="preserve">741 TB</t>
  </si>
  <si>
    <t xml:space="preserve">315 TB</t>
  </si>
  <si>
    <t xml:space="preserve">80%</t>
  </si>
  <si>
    <t xml:space="preserve">PHLN035204Q43P2BGN</t>
  </si>
  <si>
    <t xml:space="preserve">494 TB</t>
  </si>
  <si>
    <t xml:space="preserve">235 TB</t>
  </si>
  <si>
    <t xml:space="preserve">PHLN042102093P2BGN</t>
  </si>
  <si>
    <t xml:space="preserve">518 TB</t>
  </si>
  <si>
    <t xml:space="preserve">231 TB</t>
  </si>
  <si>
    <t xml:space="preserve">S294NYAG900027</t>
  </si>
  <si>
    <t xml:space="preserve">769 TB</t>
  </si>
  <si>
    <t xml:space="preserve">418 TB</t>
  </si>
  <si>
    <t xml:space="preserve">81%</t>
  </si>
  <si>
    <t xml:space="preserve">S294NYAG200087</t>
  </si>
  <si>
    <t xml:space="preserve">861 TB</t>
  </si>
  <si>
    <t xml:space="preserve">405 TB</t>
  </si>
  <si>
    <t xml:space="preserve">S294NYAG900023</t>
  </si>
  <si>
    <t xml:space="preserve">784 TB</t>
  </si>
  <si>
    <t xml:space="preserve">350 TB</t>
  </si>
  <si>
    <t xml:space="preserve">82%</t>
  </si>
  <si>
    <t xml:space="preserve">PHLN0421010F3P2BGN</t>
  </si>
  <si>
    <t xml:space="preserve">209 TB</t>
  </si>
  <si>
    <t xml:space="preserve">33.4 TB</t>
  </si>
  <si>
    <t xml:space="preserve">PHLN035202U23P2BGN</t>
  </si>
  <si>
    <t xml:space="preserve">157 TB</t>
  </si>
  <si>
    <t xml:space="preserve">26.4 TB</t>
  </si>
  <si>
    <t xml:space="preserve">PHLN042102D63P2BGN</t>
  </si>
  <si>
    <t xml:space="preserve">504 TB</t>
  </si>
  <si>
    <t xml:space="preserve">246 TB</t>
  </si>
  <si>
    <t xml:space="preserve">PHLN0421021F3P2BGN</t>
  </si>
  <si>
    <t xml:space="preserve">578 TB</t>
  </si>
  <si>
    <t xml:space="preserve">359 TB</t>
  </si>
  <si>
    <t xml:space="preserve">PHLN042102V13P2BGN</t>
  </si>
  <si>
    <t xml:space="preserve">523 TB</t>
  </si>
  <si>
    <t xml:space="preserve">195 TB</t>
  </si>
  <si>
    <t xml:space="preserve">PHLN035201P73P2BGN</t>
  </si>
  <si>
    <t xml:space="preserve">423 TB</t>
  </si>
  <si>
    <t xml:space="preserve">216 TB</t>
  </si>
  <si>
    <t xml:space="preserve">PHLN035200GS3P2BGN</t>
  </si>
  <si>
    <t xml:space="preserve">445 TB</t>
  </si>
  <si>
    <t xml:space="preserve">S294NY0HC00867</t>
  </si>
  <si>
    <t xml:space="preserve">463 TB</t>
  </si>
  <si>
    <t xml:space="preserve">329 TB</t>
  </si>
  <si>
    <t xml:space="preserve">PHLN0421020Z3P2BGN</t>
  </si>
  <si>
    <t xml:space="preserve">361 TB</t>
  </si>
  <si>
    <t xml:space="preserve">85.6 TB</t>
  </si>
  <si>
    <t xml:space="preserve">PHLN042101PC3P2BGN</t>
  </si>
  <si>
    <t xml:space="preserve">505 TB</t>
  </si>
  <si>
    <t xml:space="preserve">183 TB</t>
  </si>
  <si>
    <t xml:space="preserve">PHLN042103AD3P2BGN</t>
  </si>
  <si>
    <t xml:space="preserve">469 TB</t>
  </si>
  <si>
    <t xml:space="preserve">180 TB</t>
  </si>
  <si>
    <t xml:space="preserve">PHLN035202D23P2BGN</t>
  </si>
  <si>
    <t xml:space="preserve">136 TB</t>
  </si>
  <si>
    <t xml:space="preserve">PHLN042101KJ3P2BGN</t>
  </si>
  <si>
    <t xml:space="preserve">S294NY0HC00869</t>
  </si>
  <si>
    <t xml:space="preserve">417 TB</t>
  </si>
  <si>
    <t xml:space="preserve">321 TB</t>
  </si>
  <si>
    <t xml:space="preserve">77%</t>
  </si>
  <si>
    <t xml:space="preserve">S294NY0HB00118</t>
  </si>
  <si>
    <t xml:space="preserve">591 TB</t>
  </si>
  <si>
    <t xml:space="preserve">97.0 TB</t>
  </si>
  <si>
    <t xml:space="preserve">73%</t>
  </si>
  <si>
    <t xml:space="preserve">S294NYAH200512</t>
  </si>
  <si>
    <t xml:space="preserve">644 TB</t>
  </si>
  <si>
    <t xml:space="preserve">211 TB</t>
  </si>
  <si>
    <t xml:space="preserve">XDP0A3KK0ND3</t>
  </si>
  <si>
    <t xml:space="preserve">2.2.1</t>
  </si>
  <si>
    <t xml:space="preserve">210 TB</t>
  </si>
  <si>
    <t xml:space="preserve">32.2 TB</t>
  </si>
  <si>
    <t xml:space="preserve">34 Celsius</t>
  </si>
  <si>
    <t xml:space="preserve">PHLN035202TZ3P2BGN</t>
  </si>
  <si>
    <t xml:space="preserve">433 TB</t>
  </si>
  <si>
    <t xml:space="preserve">259 TB</t>
  </si>
  <si>
    <t xml:space="preserve">PHLN035201QM3P2BGN</t>
  </si>
  <si>
    <t xml:space="preserve">215 TB</t>
  </si>
  <si>
    <t xml:space="preserve">PHLN0376005Y3P2BGN</t>
  </si>
  <si>
    <t xml:space="preserve">447 TB</t>
  </si>
  <si>
    <t xml:space="preserve">PHLN035202FG3P2BGN</t>
  </si>
  <si>
    <t xml:space="preserve">371 TB</t>
  </si>
  <si>
    <t xml:space="preserve">167 TB</t>
  </si>
  <si>
    <t xml:space="preserve">PHLN0421010E3P2BGN</t>
  </si>
  <si>
    <t xml:space="preserve">388 TB</t>
  </si>
  <si>
    <t xml:space="preserve">169 TB</t>
  </si>
  <si>
    <t xml:space="preserve">PHLN042101KY3P2BGN</t>
  </si>
  <si>
    <t xml:space="preserve">569 TB</t>
  </si>
  <si>
    <t xml:space="preserve">354 TB</t>
  </si>
  <si>
    <t xml:space="preserve">XDP0A3KJ0ND3</t>
  </si>
  <si>
    <t xml:space="preserve">198 TB</t>
  </si>
  <si>
    <t xml:space="preserve">32.4 TB</t>
  </si>
  <si>
    <t xml:space="preserve">S294NYAGC00386</t>
  </si>
  <si>
    <t xml:space="preserve">256 TB</t>
  </si>
  <si>
    <t xml:space="preserve">32.1 TB</t>
  </si>
  <si>
    <t xml:space="preserve">68%</t>
  </si>
  <si>
    <t xml:space="preserve">S294NY0HC00175</t>
  </si>
  <si>
    <t xml:space="preserve">670 TB</t>
  </si>
  <si>
    <t xml:space="preserve">192 TB</t>
  </si>
  <si>
    <t xml:space="preserve">75%</t>
  </si>
  <si>
    <t xml:space="preserve">XDP0A3LK0ND3</t>
  </si>
  <si>
    <t xml:space="preserve">196 TB</t>
  </si>
  <si>
    <t xml:space="preserve">PHLN042102143P2BGN</t>
  </si>
  <si>
    <t xml:space="preserve">347 TB</t>
  </si>
  <si>
    <t xml:space="preserve">111 TB</t>
  </si>
  <si>
    <t xml:space="preserve">S5CXNA0R100132</t>
  </si>
  <si>
    <t xml:space="preserve">1.2.1</t>
  </si>
  <si>
    <t xml:space="preserve">221 TB</t>
  </si>
  <si>
    <t xml:space="preserve">36.2 TB</t>
  </si>
  <si>
    <t xml:space="preserve">28 Celsius</t>
  </si>
  <si>
    <t xml:space="preserve">PHLN042101FQ3P2BGN</t>
  </si>
  <si>
    <t xml:space="preserve">PHLN043300983P2BGN</t>
  </si>
  <si>
    <t xml:space="preserve">473 TB</t>
  </si>
  <si>
    <t xml:space="preserve">228 TB</t>
  </si>
  <si>
    <t xml:space="preserve">PHLN035202773P2BGN</t>
  </si>
  <si>
    <t xml:space="preserve">S5CXNA0R100043</t>
  </si>
  <si>
    <t xml:space="preserve">225 TB</t>
  </si>
  <si>
    <t xml:space="preserve">37.7 TB</t>
  </si>
  <si>
    <t xml:space="preserve">27 Celsius</t>
  </si>
  <si>
    <t xml:space="preserve">S5CXNA0R100067</t>
  </si>
  <si>
    <t xml:space="preserve">36.7 TB</t>
  </si>
  <si>
    <t xml:space="preserve">S5CXNA0R100051</t>
  </si>
  <si>
    <t xml:space="preserve">214 TB</t>
  </si>
  <si>
    <t xml:space="preserve">35.2 TB</t>
  </si>
  <si>
    <t xml:space="preserve">S5CXNA0R100065</t>
  </si>
  <si>
    <t xml:space="preserve">176 TB</t>
  </si>
  <si>
    <t xml:space="preserve">32.6 TB</t>
  </si>
  <si>
    <t xml:space="preserve">PHLN043400UR3P2BGN</t>
  </si>
  <si>
    <t xml:space="preserve">S5CXNA0R100073</t>
  </si>
  <si>
    <t xml:space="preserve">164 TB</t>
  </si>
  <si>
    <t xml:space="preserve">S5CXNA0R100030</t>
  </si>
  <si>
    <t xml:space="preserve">174 TB</t>
  </si>
  <si>
    <t xml:space="preserve">33.5 TB</t>
  </si>
  <si>
    <t xml:space="preserve">S5CXNA0R100170</t>
  </si>
  <si>
    <t xml:space="preserve">160 TB</t>
  </si>
  <si>
    <t xml:space="preserve">30.2 TB</t>
  </si>
  <si>
    <t xml:space="preserve">S5CXNA0R100052</t>
  </si>
  <si>
    <t xml:space="preserve">233 TB</t>
  </si>
  <si>
    <t xml:space="preserve">37.8 TB</t>
  </si>
  <si>
    <t xml:space="preserve">S5CXNA0R100061</t>
  </si>
  <si>
    <t xml:space="preserve">S5CXNA0R100129</t>
  </si>
  <si>
    <t xml:space="preserve">33.7 TB</t>
  </si>
  <si>
    <t xml:space="preserve">S5CXNA0R100039</t>
  </si>
  <si>
    <t xml:space="preserve">35.3 TB</t>
  </si>
  <si>
    <t xml:space="preserve">PHLN035200QM3P2BGN</t>
  </si>
  <si>
    <t xml:space="preserve">406 TB</t>
  </si>
  <si>
    <t xml:space="preserve">162 TB</t>
  </si>
  <si>
    <t xml:space="preserve">PHLN0341001N3P2BGN</t>
  </si>
  <si>
    <t xml:space="preserve">389 TB</t>
  </si>
  <si>
    <t xml:space="preserve">172 TB</t>
  </si>
  <si>
    <t xml:space="preserve">PHLN042101BD3P2BGN</t>
  </si>
  <si>
    <t xml:space="preserve">503 TB</t>
  </si>
  <si>
    <t xml:space="preserve">PHLN0421011J3P2BGN</t>
  </si>
  <si>
    <t xml:space="preserve">466 TB</t>
  </si>
  <si>
    <t xml:space="preserve">239 TB</t>
  </si>
  <si>
    <t xml:space="preserve">PHLN042101H63P2BGN</t>
  </si>
  <si>
    <t xml:space="preserve">414 TB</t>
  </si>
  <si>
    <t xml:space="preserve">181 TB</t>
  </si>
  <si>
    <t xml:space="preserve">PHLN042101EY3P2BGN</t>
  </si>
  <si>
    <t xml:space="preserve">355 TB</t>
  </si>
  <si>
    <t xml:space="preserve">PHLN043401EN3P2BGN</t>
  </si>
  <si>
    <t xml:space="preserve">PHLN027400WF3P2BGN</t>
  </si>
  <si>
    <t xml:space="preserve">426 TB</t>
  </si>
  <si>
    <t xml:space="preserve">PHLN042101HD3P2BGN</t>
  </si>
  <si>
    <t xml:space="preserve">207 TB</t>
  </si>
  <si>
    <t xml:space="preserve">33.1 TB</t>
  </si>
  <si>
    <t xml:space="preserve">PHLN042101H83P2BGN</t>
  </si>
  <si>
    <t xml:space="preserve">PHLN0434013U3P2BGN</t>
  </si>
  <si>
    <t xml:space="preserve">454 TB</t>
  </si>
  <si>
    <t xml:space="preserve">199 TB</t>
  </si>
  <si>
    <t xml:space="preserve">PHLN035204Q63P2BGN</t>
  </si>
  <si>
    <t xml:space="preserve">499 TB</t>
  </si>
  <si>
    <t xml:space="preserve">343 TB</t>
  </si>
  <si>
    <t xml:space="preserve">PHLN0342000V3P2BGN</t>
  </si>
  <si>
    <t xml:space="preserve">533 TB</t>
  </si>
  <si>
    <t xml:space="preserve">PHLN043400QV3P2BGN</t>
  </si>
  <si>
    <t xml:space="preserve">432 TB</t>
  </si>
  <si>
    <t xml:space="preserve">224 TB</t>
  </si>
  <si>
    <t xml:space="preserve">PHLN0434013S3P2BGN</t>
  </si>
  <si>
    <t xml:space="preserve">487 TB</t>
  </si>
  <si>
    <t xml:space="preserve">255 TB</t>
  </si>
  <si>
    <t xml:space="preserve">PHLN0352012L3P2BGN</t>
  </si>
  <si>
    <t xml:space="preserve">441 TB</t>
  </si>
  <si>
    <t xml:space="preserve">230 TB</t>
  </si>
  <si>
    <t xml:space="preserve">PHLN034100213P2BGN</t>
  </si>
  <si>
    <t xml:space="preserve">26.7 TB</t>
  </si>
  <si>
    <t xml:space="preserve">7.44 TB</t>
  </si>
  <si>
    <t xml:space="preserve">PHLN043400YL3P2BGN</t>
  </si>
  <si>
    <t xml:space="preserve">440 TB</t>
  </si>
  <si>
    <t xml:space="preserve">289 TB</t>
  </si>
  <si>
    <t xml:space="preserve">PHLN0434028K3P2BGN</t>
  </si>
  <si>
    <t xml:space="preserve">455 TB</t>
  </si>
  <si>
    <t xml:space="preserve">264 TB</t>
  </si>
  <si>
    <t xml:space="preserve">PHLN0352017J3P2BGN</t>
  </si>
  <si>
    <t xml:space="preserve">PHLN035200RK3P2BGN</t>
  </si>
  <si>
    <t xml:space="preserve">554 TB</t>
  </si>
  <si>
    <t xml:space="preserve">324 TB</t>
  </si>
  <si>
    <t xml:space="preserve">PHLN042101FR3P2BGN</t>
  </si>
  <si>
    <t xml:space="preserve">438 TB</t>
  </si>
  <si>
    <t xml:space="preserve">PHLN042101KC3P2BGN</t>
  </si>
  <si>
    <t xml:space="preserve">421 TB</t>
  </si>
  <si>
    <t xml:space="preserve">PHLN034200013P2BGN</t>
  </si>
  <si>
    <t xml:space="preserve">PHLN027400W33P2BGN</t>
  </si>
  <si>
    <t xml:space="preserve">488 TB</t>
  </si>
  <si>
    <t xml:space="preserve">PHLN043401VX3P2BGN</t>
  </si>
  <si>
    <t xml:space="preserve">186 TB</t>
  </si>
  <si>
    <t xml:space="preserve">PHLN042101JV3P2BGN</t>
  </si>
  <si>
    <t xml:space="preserve">PHLN042101KV3P2BGN</t>
  </si>
  <si>
    <t xml:space="preserve">190 TB</t>
  </si>
  <si>
    <t xml:space="preserve">PHLN042101A13P2BGN</t>
  </si>
  <si>
    <t xml:space="preserve">30.3 TB</t>
  </si>
  <si>
    <t xml:space="preserve">PHLN043400US3P2BGN</t>
  </si>
  <si>
    <t xml:space="preserve">420 TB</t>
  </si>
  <si>
    <t xml:space="preserve">PHLN037600133P2BGN</t>
  </si>
  <si>
    <t xml:space="preserve">PHLN042101FW3P2BGN</t>
  </si>
  <si>
    <t xml:space="preserve">461 TB</t>
  </si>
  <si>
    <t xml:space="preserve">217 TB</t>
  </si>
  <si>
    <t xml:space="preserve">PHLN043401DX3P2BGN</t>
  </si>
  <si>
    <t xml:space="preserve">PHLN042101BG3P2BGN</t>
  </si>
  <si>
    <t xml:space="preserve">33.3 TB</t>
  </si>
  <si>
    <t xml:space="preserve">PHLN042101L33P2BGN</t>
  </si>
  <si>
    <t xml:space="preserve">338 TB</t>
  </si>
  <si>
    <t xml:space="preserve">37.5 TB</t>
  </si>
  <si>
    <t xml:space="preserve">PHLN043401XL3P2BGN</t>
  </si>
  <si>
    <t xml:space="preserve">424 TB</t>
  </si>
  <si>
    <t xml:space="preserve">PHLN035201QS3P2BGN</t>
  </si>
  <si>
    <t xml:space="preserve">34.3 TB</t>
  </si>
  <si>
    <t xml:space="preserve">PHLN035200PQ3P2BGN</t>
  </si>
  <si>
    <t xml:space="preserve">PHLN0434028G3P2BGN</t>
  </si>
  <si>
    <t xml:space="preserve">475 TB</t>
  </si>
  <si>
    <t xml:space="preserve">243 TB</t>
  </si>
  <si>
    <t xml:space="preserve">PHLN0342001F3P2BGN</t>
  </si>
  <si>
    <t xml:space="preserve">193 TB</t>
  </si>
  <si>
    <t xml:space="preserve">38.5 TB</t>
  </si>
  <si>
    <t xml:space="preserve">PHLN0421019P3P2BGN</t>
  </si>
  <si>
    <t xml:space="preserve">283 TB</t>
  </si>
  <si>
    <t xml:space="preserve">269 TB</t>
  </si>
  <si>
    <t xml:space="preserve">PHLN043400LP3P2BGN</t>
  </si>
  <si>
    <t xml:space="preserve">486 TB</t>
  </si>
  <si>
    <t xml:space="preserve">295 TB</t>
  </si>
  <si>
    <t xml:space="preserve">PHLN231201DD3P2FGN</t>
  </si>
  <si>
    <t xml:space="preserve">VDV1DP25</t>
  </si>
  <si>
    <t xml:space="preserve">65.7 TB</t>
  </si>
  <si>
    <t xml:space="preserve">PHLN042101GA3P2BGN</t>
  </si>
  <si>
    <t xml:space="preserve">BTLN919205WW3P2BGN</t>
  </si>
  <si>
    <t xml:space="preserve">VDV1DP21</t>
  </si>
  <si>
    <t xml:space="preserve">244 TB</t>
  </si>
  <si>
    <t xml:space="preserve">57.2 TB</t>
  </si>
  <si>
    <t xml:space="preserve">BTLN905000LE3P2BGN</t>
  </si>
  <si>
    <t xml:space="preserve">204 TB</t>
  </si>
  <si>
    <t xml:space="preserve">BTLN905000R23P2BGN</t>
  </si>
  <si>
    <t xml:space="preserve">202 TB</t>
  </si>
  <si>
    <t xml:space="preserve">BTLN919208AK3P2BGN</t>
  </si>
  <si>
    <t xml:space="preserve">58.5 TB</t>
  </si>
  <si>
    <t xml:space="preserve">BTLN905000LS3P2BGN</t>
  </si>
  <si>
    <t xml:space="preserve">BTLN918600VD3P2BGN</t>
  </si>
  <si>
    <t xml:space="preserve">34.0 TB</t>
  </si>
  <si>
    <t xml:space="preserve">BTLN9195079F3P2BGN</t>
  </si>
  <si>
    <t xml:space="preserve">250 TB</t>
  </si>
  <si>
    <t xml:space="preserve">63.2 TB</t>
  </si>
  <si>
    <t xml:space="preserve">BTLN91950AHS3P2BGN</t>
  </si>
  <si>
    <t xml:space="preserve">227 TB</t>
  </si>
  <si>
    <t xml:space="preserve">61.3 TB</t>
  </si>
  <si>
    <t xml:space="preserve">BTLN919206883P2BGN</t>
  </si>
  <si>
    <t xml:space="preserve">64.7 TB</t>
  </si>
  <si>
    <t xml:space="preserve">BTLN905000R83P2BGN</t>
  </si>
  <si>
    <t xml:space="preserve">166 TB</t>
  </si>
  <si>
    <t xml:space="preserve">29.1 TB</t>
  </si>
  <si>
    <t xml:space="preserve">BTLN905002C03P2BGN</t>
  </si>
  <si>
    <t xml:space="preserve">BTLN905000KQ3P2BGN</t>
  </si>
  <si>
    <t xml:space="preserve">218 TB</t>
  </si>
  <si>
    <t xml:space="preserve">31.9 TB</t>
  </si>
  <si>
    <t xml:space="preserve">BTLN91950AKC3P2BGN</t>
  </si>
  <si>
    <t xml:space="preserve">66.2 TB</t>
  </si>
  <si>
    <t xml:space="preserve">BTLN919205A23P2BGN</t>
  </si>
  <si>
    <t xml:space="preserve">251 TB</t>
  </si>
  <si>
    <t xml:space="preserve">BTLN919107313P2BGN</t>
  </si>
  <si>
    <t xml:space="preserve">242 TB</t>
  </si>
  <si>
    <t xml:space="preserve">56.8 TB</t>
  </si>
  <si>
    <t xml:space="preserve">BTLN905000UU3P2BGN</t>
  </si>
  <si>
    <t xml:space="preserve">33.2 TB</t>
  </si>
  <si>
    <t xml:space="preserve">BTLN919205CD3P2BGN</t>
  </si>
  <si>
    <t xml:space="preserve">54.7 TB</t>
  </si>
  <si>
    <t xml:space="preserve">BTLN919208A63P2BGN</t>
  </si>
  <si>
    <t xml:space="preserve">59.1 TB</t>
  </si>
  <si>
    <t xml:space="preserve">BTLN85110JJL3P2BGN</t>
  </si>
  <si>
    <t xml:space="preserve">41.2 TB</t>
  </si>
  <si>
    <t xml:space="preserve">BTLN905002C83P2BGN</t>
  </si>
  <si>
    <t xml:space="preserve">31.1 TB</t>
  </si>
  <si>
    <t xml:space="preserve">BTLN905000LJ3P2BGN</t>
  </si>
  <si>
    <t xml:space="preserve">723 GB</t>
  </si>
  <si>
    <t xml:space="preserve">84.4 GB</t>
  </si>
  <si>
    <t xml:space="preserve">BTLN918600HT3P2BGN</t>
  </si>
  <si>
    <t xml:space="preserve">29.3 TB</t>
  </si>
  <si>
    <t xml:space="preserve">BTLN918601KX3P2BGN</t>
  </si>
  <si>
    <t xml:space="preserve">28.3 TB</t>
  </si>
  <si>
    <t xml:space="preserve">BTLN946200AS3P2BGN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</si>
</sst>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&quot; TB&quot;"/>
    <numFmt numFmtId="166" formatCode="0\%"/>
    <numFmt numFmtId="167" formatCode="#,##0&quot; TB&quot;"/>
    <numFmt numFmtId="168" formatCode="#,##0.0&quot; TB&quot;"/>
    <numFmt numFmtId="169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2F5FA"/>
        <bgColor rgb="FFFFFFFF"/>
      </patternFill>
    </fill>
    <fill>
      <patternFill patternType="solid">
        <fgColor rgb="FFFFEB9C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4" t="s">
        <v>15</v>
      </c>
      <c r="D5" s="4" t="s">
        <v>16</v>
      </c>
      <c r="E5" s="6" t="n">
        <v>528</v>
      </c>
      <c r="F5" s="7" t="n">
        <v>0.04</v>
      </c>
      <c r="G5" s="7" t="n">
        <f aca="false">1-F5</f>
        <v>0.96</v>
      </c>
      <c r="H5" s="7" t="n">
        <v>0.99</v>
      </c>
      <c r="I5" s="8" t="s">
        <v>17</v>
      </c>
      <c r="J5" s="9" t="s">
        <v>18</v>
      </c>
      <c r="K5" s="10" t="s">
        <v>19</v>
      </c>
    </row>
    <row r="6" customFormat="false" ht="15" hidden="false" customHeight="false" outlineLevel="0" collapsed="false">
      <c r="A6" s="11" t="s">
        <v>13</v>
      </c>
      <c r="B6" s="12" t="s">
        <v>20</v>
      </c>
      <c r="C6" s="11" t="s">
        <v>15</v>
      </c>
      <c r="D6" s="11" t="s">
        <v>16</v>
      </c>
      <c r="E6" s="13" t="n">
        <v>429</v>
      </c>
      <c r="F6" s="14" t="n">
        <v>0.03</v>
      </c>
      <c r="G6" s="14" t="n">
        <f aca="false">1-F6</f>
        <v>0.97</v>
      </c>
      <c r="H6" s="14" t="n">
        <v>1</v>
      </c>
      <c r="I6" s="15" t="s">
        <v>17</v>
      </c>
      <c r="J6" s="9" t="s">
        <v>18</v>
      </c>
      <c r="K6" s="16" t="s">
        <v>19</v>
      </c>
    </row>
    <row r="7" customFormat="false" ht="15" hidden="false" customHeight="false" outlineLevel="0" collapsed="false">
      <c r="A7" s="4" t="s">
        <v>13</v>
      </c>
      <c r="B7" s="5" t="s">
        <v>21</v>
      </c>
      <c r="C7" s="4" t="s">
        <v>15</v>
      </c>
      <c r="D7" s="4" t="s">
        <v>16</v>
      </c>
      <c r="E7" s="6" t="n">
        <v>459</v>
      </c>
      <c r="F7" s="7" t="n">
        <v>0.03</v>
      </c>
      <c r="G7" s="7" t="n">
        <f aca="false">1-F7</f>
        <v>0.97</v>
      </c>
      <c r="H7" s="7" t="n">
        <v>0.99</v>
      </c>
      <c r="I7" s="8" t="s">
        <v>17</v>
      </c>
      <c r="J7" s="9" t="s">
        <v>18</v>
      </c>
      <c r="K7" s="10" t="s">
        <v>19</v>
      </c>
    </row>
    <row r="8" customFormat="false" ht="15" hidden="false" customHeight="false" outlineLevel="0" collapsed="false">
      <c r="A8" s="11" t="s">
        <v>13</v>
      </c>
      <c r="B8" s="12" t="s">
        <v>22</v>
      </c>
      <c r="C8" s="11" t="s">
        <v>15</v>
      </c>
      <c r="D8" s="11" t="s">
        <v>16</v>
      </c>
      <c r="E8" s="13" t="n">
        <v>459</v>
      </c>
      <c r="F8" s="14" t="n">
        <v>0.03</v>
      </c>
      <c r="G8" s="14" t="n">
        <f aca="false">1-F8</f>
        <v>0.97</v>
      </c>
      <c r="H8" s="14" t="n">
        <v>0.99</v>
      </c>
      <c r="I8" s="15" t="s">
        <v>17</v>
      </c>
      <c r="J8" s="9" t="s">
        <v>18</v>
      </c>
      <c r="K8" s="16" t="s">
        <v>19</v>
      </c>
    </row>
    <row r="9" customFormat="false" ht="15" hidden="false" customHeight="false" outlineLevel="0" collapsed="false">
      <c r="A9" s="4" t="s">
        <v>13</v>
      </c>
      <c r="B9" s="5" t="s">
        <v>23</v>
      </c>
      <c r="C9" s="4" t="s">
        <v>15</v>
      </c>
      <c r="D9" s="4" t="s">
        <v>16</v>
      </c>
      <c r="E9" s="6" t="n">
        <v>524</v>
      </c>
      <c r="F9" s="7" t="n">
        <v>0.04</v>
      </c>
      <c r="G9" s="7" t="n">
        <f aca="false">1-F9</f>
        <v>0.96</v>
      </c>
      <c r="H9" s="7" t="n">
        <v>0.99</v>
      </c>
      <c r="I9" s="8" t="s">
        <v>17</v>
      </c>
      <c r="J9" s="9" t="s">
        <v>18</v>
      </c>
      <c r="K9" s="10" t="s">
        <v>19</v>
      </c>
    </row>
    <row r="10" customFormat="false" ht="15" hidden="false" customHeight="false" outlineLevel="0" collapsed="false">
      <c r="A10" s="11" t="s">
        <v>13</v>
      </c>
      <c r="B10" s="12" t="s">
        <v>24</v>
      </c>
      <c r="C10" s="11" t="s">
        <v>15</v>
      </c>
      <c r="D10" s="11" t="s">
        <v>16</v>
      </c>
      <c r="E10" s="13" t="n">
        <v>492</v>
      </c>
      <c r="F10" s="14" t="n">
        <v>0.04</v>
      </c>
      <c r="G10" s="14" t="n">
        <f aca="false">1-F10</f>
        <v>0.96</v>
      </c>
      <c r="H10" s="14" t="n">
        <v>1</v>
      </c>
      <c r="I10" s="15" t="s">
        <v>17</v>
      </c>
      <c r="J10" s="9" t="s">
        <v>18</v>
      </c>
      <c r="K10" s="16" t="s">
        <v>19</v>
      </c>
    </row>
    <row r="11" customFormat="false" ht="15" hidden="false" customHeight="false" outlineLevel="0" collapsed="false">
      <c r="A11" s="4" t="s">
        <v>13</v>
      </c>
      <c r="B11" s="5" t="s">
        <v>25</v>
      </c>
      <c r="C11" s="4" t="s">
        <v>15</v>
      </c>
      <c r="D11" s="4" t="s">
        <v>16</v>
      </c>
      <c r="E11" s="6" t="n">
        <v>444</v>
      </c>
      <c r="F11" s="7" t="n">
        <v>0.03</v>
      </c>
      <c r="G11" s="7" t="n">
        <f aca="false">1-F11</f>
        <v>0.97</v>
      </c>
      <c r="H11" s="7" t="n">
        <v>1</v>
      </c>
      <c r="I11" s="8" t="s">
        <v>17</v>
      </c>
      <c r="J11" s="9" t="s">
        <v>18</v>
      </c>
      <c r="K11" s="10" t="s">
        <v>19</v>
      </c>
    </row>
    <row r="12" customFormat="false" ht="15" hidden="false" customHeight="false" outlineLevel="0" collapsed="false">
      <c r="A12" s="11" t="s">
        <v>13</v>
      </c>
      <c r="B12" s="12" t="s">
        <v>26</v>
      </c>
      <c r="C12" s="11" t="s">
        <v>15</v>
      </c>
      <c r="D12" s="11" t="s">
        <v>16</v>
      </c>
      <c r="E12" s="13" t="n">
        <v>471</v>
      </c>
      <c r="F12" s="14" t="n">
        <v>0.03</v>
      </c>
      <c r="G12" s="14" t="n">
        <f aca="false">1-F12</f>
        <v>0.97</v>
      </c>
      <c r="H12" s="14" t="n">
        <v>1</v>
      </c>
      <c r="I12" s="15" t="s">
        <v>17</v>
      </c>
      <c r="J12" s="9" t="s">
        <v>18</v>
      </c>
      <c r="K12" s="16" t="s">
        <v>19</v>
      </c>
    </row>
    <row r="13" customFormat="false" ht="15" hidden="false" customHeight="false" outlineLevel="0" collapsed="false">
      <c r="A13" s="4" t="s">
        <v>13</v>
      </c>
      <c r="B13" s="5" t="s">
        <v>27</v>
      </c>
      <c r="C13" s="4" t="s">
        <v>15</v>
      </c>
      <c r="D13" s="4" t="s">
        <v>16</v>
      </c>
      <c r="E13" s="6" t="n">
        <v>413</v>
      </c>
      <c r="F13" s="7" t="n">
        <v>0.03</v>
      </c>
      <c r="G13" s="7" t="n">
        <f aca="false">1-F13</f>
        <v>0.97</v>
      </c>
      <c r="H13" s="7" t="n">
        <v>1</v>
      </c>
      <c r="I13" s="8" t="s">
        <v>17</v>
      </c>
      <c r="J13" s="9" t="s">
        <v>18</v>
      </c>
      <c r="K13" s="10" t="s">
        <v>19</v>
      </c>
    </row>
    <row r="14" customFormat="false" ht="15" hidden="false" customHeight="false" outlineLevel="0" collapsed="false">
      <c r="A14" s="11" t="s">
        <v>13</v>
      </c>
      <c r="B14" s="12" t="s">
        <v>28</v>
      </c>
      <c r="C14" s="11" t="s">
        <v>15</v>
      </c>
      <c r="D14" s="11" t="s">
        <v>16</v>
      </c>
      <c r="E14" s="13" t="n">
        <v>403</v>
      </c>
      <c r="F14" s="14" t="n">
        <v>0.03</v>
      </c>
      <c r="G14" s="14" t="n">
        <f aca="false">1-F14</f>
        <v>0.97</v>
      </c>
      <c r="H14" s="14" t="n">
        <v>1</v>
      </c>
      <c r="I14" s="15" t="s">
        <v>17</v>
      </c>
      <c r="J14" s="9" t="s">
        <v>18</v>
      </c>
      <c r="K14" s="16" t="s">
        <v>19</v>
      </c>
    </row>
    <row r="15" customFormat="false" ht="15" hidden="false" customHeight="false" outlineLevel="0" collapsed="false">
      <c r="A15" s="4" t="s">
        <v>13</v>
      </c>
      <c r="B15" s="5" t="s">
        <v>29</v>
      </c>
      <c r="C15" s="4" t="s">
        <v>15</v>
      </c>
      <c r="D15" s="4" t="s">
        <v>16</v>
      </c>
      <c r="E15" s="6" t="n">
        <v>489</v>
      </c>
      <c r="F15" s="7" t="n">
        <v>0.03</v>
      </c>
      <c r="G15" s="7" t="n">
        <f aca="false">1-F15</f>
        <v>0.97</v>
      </c>
      <c r="H15" s="7" t="n">
        <v>1</v>
      </c>
      <c r="I15" s="8" t="s">
        <v>17</v>
      </c>
      <c r="J15" s="9" t="s">
        <v>18</v>
      </c>
      <c r="K15" s="10" t="s">
        <v>19</v>
      </c>
    </row>
    <row r="16" customFormat="false" ht="15" hidden="false" customHeight="false" outlineLevel="0" collapsed="false">
      <c r="A16" s="11" t="s">
        <v>13</v>
      </c>
      <c r="B16" s="12" t="s">
        <v>30</v>
      </c>
      <c r="C16" s="11" t="s">
        <v>15</v>
      </c>
      <c r="D16" s="11" t="s">
        <v>16</v>
      </c>
      <c r="E16" s="13" t="n">
        <v>208</v>
      </c>
      <c r="F16" s="14" t="n">
        <v>0.01</v>
      </c>
      <c r="G16" s="14" t="n">
        <f aca="false">1-F16</f>
        <v>0.99</v>
      </c>
      <c r="H16" s="14" t="n">
        <v>1</v>
      </c>
      <c r="I16" s="15" t="s">
        <v>17</v>
      </c>
      <c r="J16" s="9" t="s">
        <v>18</v>
      </c>
      <c r="K16" s="16" t="s">
        <v>19</v>
      </c>
    </row>
    <row r="17" customFormat="false" ht="15" hidden="false" customHeight="false" outlineLevel="0" collapsed="false">
      <c r="A17" s="4" t="s">
        <v>13</v>
      </c>
      <c r="B17" s="5" t="s">
        <v>31</v>
      </c>
      <c r="C17" s="4" t="s">
        <v>15</v>
      </c>
      <c r="D17" s="4" t="s">
        <v>16</v>
      </c>
      <c r="E17" s="6" t="n">
        <v>241</v>
      </c>
      <c r="F17" s="7" t="n">
        <v>0.01</v>
      </c>
      <c r="G17" s="7" t="n">
        <f aca="false">1-F17</f>
        <v>0.99</v>
      </c>
      <c r="H17" s="7" t="n">
        <v>1</v>
      </c>
      <c r="I17" s="8" t="s">
        <v>17</v>
      </c>
      <c r="J17" s="9" t="s">
        <v>18</v>
      </c>
      <c r="K17" s="10" t="s">
        <v>19</v>
      </c>
    </row>
    <row r="18" customFormat="false" ht="15" hidden="false" customHeight="false" outlineLevel="0" collapsed="false">
      <c r="A18" s="11" t="s">
        <v>13</v>
      </c>
      <c r="B18" s="12" t="s">
        <v>32</v>
      </c>
      <c r="C18" s="11" t="s">
        <v>15</v>
      </c>
      <c r="D18" s="11" t="s">
        <v>16</v>
      </c>
      <c r="E18" s="13" t="n">
        <v>365</v>
      </c>
      <c r="F18" s="14" t="n">
        <v>0.02</v>
      </c>
      <c r="G18" s="14" t="n">
        <f aca="false">1-F18</f>
        <v>0.98</v>
      </c>
      <c r="H18" s="14" t="n">
        <v>0.99</v>
      </c>
      <c r="I18" s="15" t="s">
        <v>17</v>
      </c>
      <c r="J18" s="9" t="s">
        <v>18</v>
      </c>
      <c r="K18" s="16" t="s">
        <v>19</v>
      </c>
    </row>
    <row r="19" customFormat="false" ht="15" hidden="false" customHeight="false" outlineLevel="0" collapsed="false">
      <c r="A19" s="4" t="s">
        <v>13</v>
      </c>
      <c r="B19" s="5" t="s">
        <v>33</v>
      </c>
      <c r="C19" s="4" t="s">
        <v>15</v>
      </c>
      <c r="D19" s="4" t="s">
        <v>16</v>
      </c>
      <c r="E19" s="6" t="n">
        <v>472</v>
      </c>
      <c r="F19" s="7" t="n">
        <v>0.04</v>
      </c>
      <c r="G19" s="7" t="n">
        <f aca="false">1-F19</f>
        <v>0.96</v>
      </c>
      <c r="H19" s="7" t="n">
        <v>0.99</v>
      </c>
      <c r="I19" s="8" t="s">
        <v>17</v>
      </c>
      <c r="J19" s="9" t="s">
        <v>18</v>
      </c>
      <c r="K19" s="10" t="s">
        <v>19</v>
      </c>
    </row>
    <row r="20" customFormat="false" ht="15" hidden="false" customHeight="false" outlineLevel="0" collapsed="false">
      <c r="A20" s="11" t="s">
        <v>13</v>
      </c>
      <c r="B20" s="12" t="s">
        <v>34</v>
      </c>
      <c r="C20" s="11" t="s">
        <v>15</v>
      </c>
      <c r="D20" s="11" t="s">
        <v>16</v>
      </c>
      <c r="E20" s="13" t="n">
        <v>443</v>
      </c>
      <c r="F20" s="14" t="n">
        <v>0.03</v>
      </c>
      <c r="G20" s="14" t="n">
        <f aca="false">1-F20</f>
        <v>0.97</v>
      </c>
      <c r="H20" s="14" t="n">
        <v>1</v>
      </c>
      <c r="I20" s="15" t="s">
        <v>17</v>
      </c>
      <c r="J20" s="9" t="s">
        <v>18</v>
      </c>
      <c r="K20" s="16" t="s">
        <v>19</v>
      </c>
    </row>
    <row r="21" customFormat="false" ht="15" hidden="false" customHeight="false" outlineLevel="0" collapsed="false">
      <c r="A21" s="4" t="s">
        <v>13</v>
      </c>
      <c r="B21" s="5" t="s">
        <v>35</v>
      </c>
      <c r="C21" s="4" t="s">
        <v>15</v>
      </c>
      <c r="D21" s="4" t="s">
        <v>16</v>
      </c>
      <c r="E21" s="6" t="n">
        <v>493</v>
      </c>
      <c r="F21" s="7" t="n">
        <v>0.04</v>
      </c>
      <c r="G21" s="7" t="n">
        <f aca="false">1-F21</f>
        <v>0.96</v>
      </c>
      <c r="H21" s="7" t="n">
        <v>1</v>
      </c>
      <c r="I21" s="8" t="s">
        <v>17</v>
      </c>
      <c r="J21" s="9" t="s">
        <v>18</v>
      </c>
      <c r="K21" s="10" t="s">
        <v>19</v>
      </c>
    </row>
    <row r="22" customFormat="false" ht="15" hidden="false" customHeight="false" outlineLevel="0" collapsed="false">
      <c r="A22" s="11" t="s">
        <v>13</v>
      </c>
      <c r="B22" s="12" t="s">
        <v>36</v>
      </c>
      <c r="C22" s="11" t="s">
        <v>15</v>
      </c>
      <c r="D22" s="11" t="s">
        <v>16</v>
      </c>
      <c r="E22" s="13" t="n">
        <v>468</v>
      </c>
      <c r="F22" s="14" t="n">
        <v>0.03</v>
      </c>
      <c r="G22" s="14" t="n">
        <f aca="false">1-F22</f>
        <v>0.97</v>
      </c>
      <c r="H22" s="14" t="n">
        <v>0.99</v>
      </c>
      <c r="I22" s="15" t="s">
        <v>17</v>
      </c>
      <c r="J22" s="9" t="s">
        <v>18</v>
      </c>
      <c r="K22" s="16" t="s">
        <v>19</v>
      </c>
    </row>
    <row r="23" customFormat="false" ht="15" hidden="false" customHeight="false" outlineLevel="0" collapsed="false">
      <c r="A23" s="4" t="s">
        <v>13</v>
      </c>
      <c r="B23" s="5" t="s">
        <v>37</v>
      </c>
      <c r="C23" s="4" t="s">
        <v>15</v>
      </c>
      <c r="D23" s="4" t="s">
        <v>16</v>
      </c>
      <c r="E23" s="6" t="n">
        <v>437</v>
      </c>
      <c r="F23" s="7" t="n">
        <v>0.03</v>
      </c>
      <c r="G23" s="7" t="n">
        <f aca="false">1-F23</f>
        <v>0.97</v>
      </c>
      <c r="H23" s="7" t="n">
        <v>1</v>
      </c>
      <c r="I23" s="8" t="s">
        <v>17</v>
      </c>
      <c r="J23" s="9" t="s">
        <v>18</v>
      </c>
      <c r="K23" s="10" t="s">
        <v>19</v>
      </c>
    </row>
    <row r="24" customFormat="false" ht="15" hidden="false" customHeight="false" outlineLevel="0" collapsed="false">
      <c r="A24" s="11" t="s">
        <v>13</v>
      </c>
      <c r="B24" s="12" t="s">
        <v>38</v>
      </c>
      <c r="C24" s="11" t="s">
        <v>15</v>
      </c>
      <c r="D24" s="11" t="s">
        <v>16</v>
      </c>
      <c r="E24" s="13" t="n">
        <v>282</v>
      </c>
      <c r="F24" s="14" t="n">
        <v>0.03</v>
      </c>
      <c r="G24" s="14" t="n">
        <f aca="false">1-F24</f>
        <v>0.97</v>
      </c>
      <c r="H24" s="14" t="n">
        <v>1</v>
      </c>
      <c r="I24" s="15" t="s">
        <v>17</v>
      </c>
      <c r="J24" s="9" t="s">
        <v>18</v>
      </c>
      <c r="K24" s="16" t="s">
        <v>19</v>
      </c>
    </row>
    <row r="25" customFormat="false" ht="15" hidden="false" customHeight="false" outlineLevel="0" collapsed="false">
      <c r="A25" s="4" t="s">
        <v>13</v>
      </c>
      <c r="B25" s="5" t="s">
        <v>39</v>
      </c>
      <c r="C25" s="4" t="s">
        <v>15</v>
      </c>
      <c r="D25" s="4" t="s">
        <v>16</v>
      </c>
      <c r="E25" s="6" t="n">
        <v>506</v>
      </c>
      <c r="F25" s="7" t="n">
        <v>0.04</v>
      </c>
      <c r="G25" s="7" t="n">
        <f aca="false">1-F25</f>
        <v>0.96</v>
      </c>
      <c r="H25" s="7" t="n">
        <v>1</v>
      </c>
      <c r="I25" s="8" t="s">
        <v>17</v>
      </c>
      <c r="J25" s="9" t="s">
        <v>18</v>
      </c>
      <c r="K25" s="10" t="s">
        <v>19</v>
      </c>
    </row>
    <row r="26" customFormat="false" ht="15" hidden="false" customHeight="false" outlineLevel="0" collapsed="false">
      <c r="A26" s="11" t="s">
        <v>13</v>
      </c>
      <c r="B26" s="12" t="s">
        <v>40</v>
      </c>
      <c r="C26" s="11" t="s">
        <v>15</v>
      </c>
      <c r="D26" s="11" t="s">
        <v>16</v>
      </c>
      <c r="E26" s="13" t="n">
        <v>458</v>
      </c>
      <c r="F26" s="14" t="n">
        <v>0.03</v>
      </c>
      <c r="G26" s="14" t="n">
        <f aca="false">1-F26</f>
        <v>0.97</v>
      </c>
      <c r="H26" s="14" t="n">
        <v>0.99</v>
      </c>
      <c r="I26" s="15" t="s">
        <v>17</v>
      </c>
      <c r="J26" s="9" t="s">
        <v>18</v>
      </c>
      <c r="K26" s="16" t="s">
        <v>19</v>
      </c>
    </row>
    <row r="27" customFormat="false" ht="15" hidden="false" customHeight="false" outlineLevel="0" collapsed="false">
      <c r="A27" s="4" t="s">
        <v>13</v>
      </c>
      <c r="B27" s="5" t="s">
        <v>41</v>
      </c>
      <c r="C27" s="4" t="s">
        <v>15</v>
      </c>
      <c r="D27" s="4" t="s">
        <v>16</v>
      </c>
      <c r="E27" s="6" t="n">
        <v>194</v>
      </c>
      <c r="F27" s="7" t="n">
        <v>0.01</v>
      </c>
      <c r="G27" s="7" t="n">
        <f aca="false">1-F27</f>
        <v>0.99</v>
      </c>
      <c r="H27" s="7" t="n">
        <v>1</v>
      </c>
      <c r="I27" s="8" t="s">
        <v>17</v>
      </c>
      <c r="J27" s="9" t="s">
        <v>18</v>
      </c>
      <c r="K27" s="10" t="s">
        <v>19</v>
      </c>
    </row>
    <row r="28" customFormat="false" ht="15" hidden="false" customHeight="false" outlineLevel="0" collapsed="false">
      <c r="A28" s="11" t="s">
        <v>42</v>
      </c>
      <c r="B28" s="12" t="s">
        <v>14</v>
      </c>
      <c r="C28" s="11" t="s">
        <v>43</v>
      </c>
      <c r="D28" s="11" t="s">
        <v>16</v>
      </c>
      <c r="E28" s="13" t="n">
        <v>731</v>
      </c>
      <c r="F28" s="14" t="n">
        <v>0</v>
      </c>
      <c r="G28" s="14" t="n">
        <f aca="false">1-F28</f>
        <v>1</v>
      </c>
      <c r="H28" s="14" t="n">
        <v>0.78</v>
      </c>
      <c r="I28" s="15" t="s">
        <v>17</v>
      </c>
      <c r="J28" s="17" t="s">
        <v>44</v>
      </c>
      <c r="K28" s="16" t="s">
        <v>45</v>
      </c>
    </row>
    <row r="29" customFormat="false" ht="15" hidden="false" customHeight="false" outlineLevel="0" collapsed="false">
      <c r="A29" s="4" t="s">
        <v>42</v>
      </c>
      <c r="B29" s="5" t="s">
        <v>20</v>
      </c>
      <c r="C29" s="4" t="s">
        <v>43</v>
      </c>
      <c r="D29" s="4" t="s">
        <v>16</v>
      </c>
      <c r="E29" s="6" t="n">
        <v>254</v>
      </c>
      <c r="F29" s="7" t="n">
        <v>0</v>
      </c>
      <c r="G29" s="7" t="n">
        <f aca="false">1-F29</f>
        <v>1</v>
      </c>
      <c r="H29" s="7" t="n">
        <v>0.78</v>
      </c>
      <c r="I29" s="8" t="s">
        <v>17</v>
      </c>
      <c r="J29" s="17" t="s">
        <v>44</v>
      </c>
      <c r="K29" s="10" t="s">
        <v>45</v>
      </c>
    </row>
    <row r="30" customFormat="false" ht="15" hidden="false" customHeight="false" outlineLevel="0" collapsed="false">
      <c r="A30" s="11" t="s">
        <v>42</v>
      </c>
      <c r="B30" s="12" t="s">
        <v>21</v>
      </c>
      <c r="C30" s="11" t="s">
        <v>43</v>
      </c>
      <c r="D30" s="11" t="s">
        <v>16</v>
      </c>
      <c r="E30" s="13" t="n">
        <v>741</v>
      </c>
      <c r="F30" s="14" t="n">
        <v>0</v>
      </c>
      <c r="G30" s="14" t="n">
        <f aca="false">1-F30</f>
        <v>1</v>
      </c>
      <c r="H30" s="14" t="n">
        <v>0.8</v>
      </c>
      <c r="I30" s="15" t="s">
        <v>17</v>
      </c>
      <c r="J30" s="17" t="s">
        <v>44</v>
      </c>
      <c r="K30" s="16" t="s">
        <v>46</v>
      </c>
    </row>
    <row r="31" customFormat="false" ht="15" hidden="false" customHeight="false" outlineLevel="0" collapsed="false">
      <c r="A31" s="4" t="s">
        <v>42</v>
      </c>
      <c r="B31" s="5" t="s">
        <v>22</v>
      </c>
      <c r="C31" s="4" t="s">
        <v>15</v>
      </c>
      <c r="D31" s="4" t="s">
        <v>16</v>
      </c>
      <c r="E31" s="6" t="n">
        <v>494</v>
      </c>
      <c r="F31" s="7" t="n">
        <v>0.04</v>
      </c>
      <c r="G31" s="7" t="n">
        <f aca="false">1-F31</f>
        <v>0.96</v>
      </c>
      <c r="H31" s="7" t="n">
        <v>1</v>
      </c>
      <c r="I31" s="8" t="s">
        <v>17</v>
      </c>
      <c r="J31" s="9" t="s">
        <v>18</v>
      </c>
      <c r="K31" s="10" t="s">
        <v>19</v>
      </c>
    </row>
    <row r="32" customFormat="false" ht="15" hidden="false" customHeight="false" outlineLevel="0" collapsed="false">
      <c r="A32" s="11" t="s">
        <v>42</v>
      </c>
      <c r="B32" s="12" t="s">
        <v>23</v>
      </c>
      <c r="C32" s="11" t="s">
        <v>15</v>
      </c>
      <c r="D32" s="11" t="s">
        <v>16</v>
      </c>
      <c r="E32" s="13" t="n">
        <v>518</v>
      </c>
      <c r="F32" s="14" t="n">
        <v>0.04</v>
      </c>
      <c r="G32" s="14" t="n">
        <f aca="false">1-F32</f>
        <v>0.96</v>
      </c>
      <c r="H32" s="14" t="n">
        <v>0.99</v>
      </c>
      <c r="I32" s="15" t="s">
        <v>17</v>
      </c>
      <c r="J32" s="9" t="s">
        <v>18</v>
      </c>
      <c r="K32" s="16" t="s">
        <v>19</v>
      </c>
    </row>
    <row r="33" customFormat="false" ht="15" hidden="false" customHeight="false" outlineLevel="0" collapsed="false">
      <c r="A33" s="4" t="s">
        <v>42</v>
      </c>
      <c r="B33" s="5" t="s">
        <v>24</v>
      </c>
      <c r="C33" s="4" t="s">
        <v>43</v>
      </c>
      <c r="D33" s="4" t="s">
        <v>16</v>
      </c>
      <c r="E33" s="6" t="n">
        <v>769</v>
      </c>
      <c r="F33" s="7" t="n">
        <v>0</v>
      </c>
      <c r="G33" s="7" t="n">
        <f aca="false">1-F33</f>
        <v>1</v>
      </c>
      <c r="H33" s="7" t="n">
        <v>0.81</v>
      </c>
      <c r="I33" s="8" t="s">
        <v>17</v>
      </c>
      <c r="J33" s="17" t="s">
        <v>44</v>
      </c>
      <c r="K33" s="10" t="s">
        <v>47</v>
      </c>
    </row>
    <row r="34" customFormat="false" ht="15" hidden="false" customHeight="false" outlineLevel="0" collapsed="false">
      <c r="A34" s="11" t="s">
        <v>42</v>
      </c>
      <c r="B34" s="12" t="s">
        <v>25</v>
      </c>
      <c r="C34" s="11" t="s">
        <v>43</v>
      </c>
      <c r="D34" s="11" t="s">
        <v>16</v>
      </c>
      <c r="E34" s="13" t="n">
        <v>861</v>
      </c>
      <c r="F34" s="14" t="n">
        <v>0</v>
      </c>
      <c r="G34" s="14" t="n">
        <f aca="false">1-F34</f>
        <v>1</v>
      </c>
      <c r="H34" s="14" t="n">
        <v>0.78</v>
      </c>
      <c r="I34" s="15" t="s">
        <v>17</v>
      </c>
      <c r="J34" s="17" t="s">
        <v>44</v>
      </c>
      <c r="K34" s="16" t="s">
        <v>45</v>
      </c>
    </row>
    <row r="35" customFormat="false" ht="15" hidden="false" customHeight="false" outlineLevel="0" collapsed="false">
      <c r="A35" s="4" t="s">
        <v>42</v>
      </c>
      <c r="B35" s="5" t="s">
        <v>26</v>
      </c>
      <c r="C35" s="4" t="s">
        <v>43</v>
      </c>
      <c r="D35" s="4" t="s">
        <v>16</v>
      </c>
      <c r="E35" s="6" t="n">
        <v>784</v>
      </c>
      <c r="F35" s="7" t="n">
        <v>0</v>
      </c>
      <c r="G35" s="7" t="n">
        <f aca="false">1-F35</f>
        <v>1</v>
      </c>
      <c r="H35" s="7" t="n">
        <v>0.82</v>
      </c>
      <c r="I35" s="8" t="s">
        <v>17</v>
      </c>
      <c r="J35" s="17" t="s">
        <v>44</v>
      </c>
      <c r="K35" s="10" t="s">
        <v>48</v>
      </c>
    </row>
    <row r="36" customFormat="false" ht="15" hidden="false" customHeight="false" outlineLevel="0" collapsed="false">
      <c r="A36" s="11" t="s">
        <v>42</v>
      </c>
      <c r="B36" s="12" t="s">
        <v>27</v>
      </c>
      <c r="C36" s="11" t="s">
        <v>15</v>
      </c>
      <c r="D36" s="11" t="s">
        <v>16</v>
      </c>
      <c r="E36" s="13" t="n">
        <v>209</v>
      </c>
      <c r="F36" s="14" t="n">
        <v>0.01</v>
      </c>
      <c r="G36" s="14" t="n">
        <f aca="false">1-F36</f>
        <v>0.99</v>
      </c>
      <c r="H36" s="14" t="n">
        <v>0.99</v>
      </c>
      <c r="I36" s="15" t="s">
        <v>17</v>
      </c>
      <c r="J36" s="9" t="s">
        <v>18</v>
      </c>
      <c r="K36" s="16" t="s">
        <v>19</v>
      </c>
    </row>
    <row r="37" customFormat="false" ht="15" hidden="false" customHeight="false" outlineLevel="0" collapsed="false">
      <c r="A37" s="4" t="s">
        <v>42</v>
      </c>
      <c r="B37" s="5" t="s">
        <v>28</v>
      </c>
      <c r="C37" s="4" t="s">
        <v>15</v>
      </c>
      <c r="D37" s="4" t="s">
        <v>16</v>
      </c>
      <c r="E37" s="6" t="n">
        <v>157</v>
      </c>
      <c r="F37" s="7" t="n">
        <v>0</v>
      </c>
      <c r="G37" s="7" t="n">
        <f aca="false">1-F37</f>
        <v>1</v>
      </c>
      <c r="H37" s="7" t="n">
        <v>1</v>
      </c>
      <c r="I37" s="8" t="s">
        <v>17</v>
      </c>
      <c r="J37" s="9" t="s">
        <v>18</v>
      </c>
      <c r="K37" s="10" t="s">
        <v>19</v>
      </c>
    </row>
    <row r="38" customFormat="false" ht="15" hidden="false" customHeight="false" outlineLevel="0" collapsed="false">
      <c r="A38" s="11" t="s">
        <v>42</v>
      </c>
      <c r="B38" s="12" t="s">
        <v>29</v>
      </c>
      <c r="C38" s="11" t="s">
        <v>15</v>
      </c>
      <c r="D38" s="11" t="s">
        <v>16</v>
      </c>
      <c r="E38" s="13" t="n">
        <v>504</v>
      </c>
      <c r="F38" s="14" t="n">
        <v>0.04</v>
      </c>
      <c r="G38" s="14" t="n">
        <f aca="false">1-F38</f>
        <v>0.96</v>
      </c>
      <c r="H38" s="14" t="n">
        <v>1</v>
      </c>
      <c r="I38" s="15" t="s">
        <v>17</v>
      </c>
      <c r="J38" s="9" t="s">
        <v>18</v>
      </c>
      <c r="K38" s="16" t="s">
        <v>19</v>
      </c>
    </row>
    <row r="39" customFormat="false" ht="15" hidden="false" customHeight="false" outlineLevel="0" collapsed="false">
      <c r="A39" s="4" t="s">
        <v>42</v>
      </c>
      <c r="B39" s="5" t="s">
        <v>30</v>
      </c>
      <c r="C39" s="4" t="s">
        <v>15</v>
      </c>
      <c r="D39" s="4" t="s">
        <v>16</v>
      </c>
      <c r="E39" s="6" t="n">
        <v>578</v>
      </c>
      <c r="F39" s="7" t="n">
        <v>0.04</v>
      </c>
      <c r="G39" s="7" t="n">
        <f aca="false">1-F39</f>
        <v>0.96</v>
      </c>
      <c r="H39" s="7" t="n">
        <v>1</v>
      </c>
      <c r="I39" s="8" t="s">
        <v>17</v>
      </c>
      <c r="J39" s="9" t="s">
        <v>18</v>
      </c>
      <c r="K39" s="10" t="s">
        <v>19</v>
      </c>
    </row>
    <row r="40" customFormat="false" ht="15" hidden="false" customHeight="false" outlineLevel="0" collapsed="false">
      <c r="A40" s="11" t="s">
        <v>42</v>
      </c>
      <c r="B40" s="12" t="s">
        <v>31</v>
      </c>
      <c r="C40" s="11" t="s">
        <v>15</v>
      </c>
      <c r="D40" s="11" t="s">
        <v>16</v>
      </c>
      <c r="E40" s="13" t="n">
        <v>523</v>
      </c>
      <c r="F40" s="14" t="n">
        <v>0.04</v>
      </c>
      <c r="G40" s="14" t="n">
        <f aca="false">1-F40</f>
        <v>0.96</v>
      </c>
      <c r="H40" s="14" t="n">
        <v>1</v>
      </c>
      <c r="I40" s="15" t="s">
        <v>17</v>
      </c>
      <c r="J40" s="9" t="s">
        <v>18</v>
      </c>
      <c r="K40" s="16" t="s">
        <v>19</v>
      </c>
    </row>
    <row r="41" customFormat="false" ht="15" hidden="false" customHeight="false" outlineLevel="0" collapsed="false">
      <c r="A41" s="4" t="s">
        <v>42</v>
      </c>
      <c r="B41" s="5" t="s">
        <v>32</v>
      </c>
      <c r="C41" s="4" t="s">
        <v>15</v>
      </c>
      <c r="D41" s="4" t="s">
        <v>16</v>
      </c>
      <c r="E41" s="6" t="n">
        <v>423</v>
      </c>
      <c r="F41" s="7" t="n">
        <v>0.03</v>
      </c>
      <c r="G41" s="7" t="n">
        <f aca="false">1-F41</f>
        <v>0.97</v>
      </c>
      <c r="H41" s="7" t="n">
        <v>1</v>
      </c>
      <c r="I41" s="8" t="s">
        <v>17</v>
      </c>
      <c r="J41" s="9" t="s">
        <v>18</v>
      </c>
      <c r="K41" s="10" t="s">
        <v>19</v>
      </c>
    </row>
    <row r="42" customFormat="false" ht="15" hidden="false" customHeight="false" outlineLevel="0" collapsed="false">
      <c r="A42" s="11" t="s">
        <v>42</v>
      </c>
      <c r="B42" s="12" t="s">
        <v>33</v>
      </c>
      <c r="C42" s="11" t="s">
        <v>15</v>
      </c>
      <c r="D42" s="11" t="s">
        <v>16</v>
      </c>
      <c r="E42" s="13" t="n">
        <v>445</v>
      </c>
      <c r="F42" s="14" t="n">
        <v>0.03</v>
      </c>
      <c r="G42" s="14" t="n">
        <f aca="false">1-F42</f>
        <v>0.97</v>
      </c>
      <c r="H42" s="14" t="n">
        <v>1</v>
      </c>
      <c r="I42" s="15" t="s">
        <v>17</v>
      </c>
      <c r="J42" s="9" t="s">
        <v>18</v>
      </c>
      <c r="K42" s="16" t="s">
        <v>19</v>
      </c>
    </row>
    <row r="43" customFormat="false" ht="15" hidden="false" customHeight="false" outlineLevel="0" collapsed="false">
      <c r="A43" s="4" t="s">
        <v>42</v>
      </c>
      <c r="B43" s="5" t="s">
        <v>34</v>
      </c>
      <c r="C43" s="4" t="s">
        <v>43</v>
      </c>
      <c r="D43" s="4" t="s">
        <v>16</v>
      </c>
      <c r="E43" s="6" t="n">
        <v>463</v>
      </c>
      <c r="F43" s="7" t="n">
        <v>0</v>
      </c>
      <c r="G43" s="7" t="n">
        <f aca="false">1-F43</f>
        <v>1</v>
      </c>
      <c r="H43" s="7" t="n">
        <v>0.8</v>
      </c>
      <c r="I43" s="8" t="s">
        <v>17</v>
      </c>
      <c r="J43" s="17" t="s">
        <v>44</v>
      </c>
      <c r="K43" s="10" t="s">
        <v>46</v>
      </c>
    </row>
    <row r="44" customFormat="false" ht="15" hidden="false" customHeight="false" outlineLevel="0" collapsed="false">
      <c r="A44" s="11" t="s">
        <v>42</v>
      </c>
      <c r="B44" s="12" t="s">
        <v>35</v>
      </c>
      <c r="C44" s="11" t="s">
        <v>15</v>
      </c>
      <c r="D44" s="11" t="s">
        <v>16</v>
      </c>
      <c r="E44" s="13" t="n">
        <v>361</v>
      </c>
      <c r="F44" s="14" t="n">
        <v>0.02</v>
      </c>
      <c r="G44" s="14" t="n">
        <f aca="false">1-F44</f>
        <v>0.98</v>
      </c>
      <c r="H44" s="14" t="n">
        <v>1</v>
      </c>
      <c r="I44" s="15" t="s">
        <v>17</v>
      </c>
      <c r="J44" s="9" t="s">
        <v>18</v>
      </c>
      <c r="K44" s="16" t="s">
        <v>19</v>
      </c>
    </row>
    <row r="45" customFormat="false" ht="15" hidden="false" customHeight="false" outlineLevel="0" collapsed="false">
      <c r="A45" s="4" t="s">
        <v>42</v>
      </c>
      <c r="B45" s="5" t="s">
        <v>36</v>
      </c>
      <c r="C45" s="4" t="s">
        <v>15</v>
      </c>
      <c r="D45" s="4" t="s">
        <v>16</v>
      </c>
      <c r="E45" s="6" t="n">
        <v>505</v>
      </c>
      <c r="F45" s="7" t="n">
        <v>0.04</v>
      </c>
      <c r="G45" s="7" t="n">
        <f aca="false">1-F45</f>
        <v>0.96</v>
      </c>
      <c r="H45" s="7" t="n">
        <v>1</v>
      </c>
      <c r="I45" s="8" t="s">
        <v>17</v>
      </c>
      <c r="J45" s="9" t="s">
        <v>18</v>
      </c>
      <c r="K45" s="10" t="s">
        <v>19</v>
      </c>
    </row>
    <row r="46" customFormat="false" ht="15" hidden="false" customHeight="false" outlineLevel="0" collapsed="false">
      <c r="A46" s="11" t="s">
        <v>42</v>
      </c>
      <c r="B46" s="12" t="s">
        <v>49</v>
      </c>
      <c r="C46" s="11" t="s">
        <v>15</v>
      </c>
      <c r="D46" s="11" t="s">
        <v>16</v>
      </c>
      <c r="E46" s="13" t="n">
        <v>469</v>
      </c>
      <c r="F46" s="14" t="n">
        <v>0.03</v>
      </c>
      <c r="G46" s="14" t="n">
        <f aca="false">1-F46</f>
        <v>0.97</v>
      </c>
      <c r="H46" s="14" t="n">
        <v>0.99</v>
      </c>
      <c r="I46" s="15" t="s">
        <v>17</v>
      </c>
      <c r="J46" s="9" t="s">
        <v>18</v>
      </c>
      <c r="K46" s="16" t="s">
        <v>19</v>
      </c>
    </row>
    <row r="47" customFormat="false" ht="15" hidden="false" customHeight="false" outlineLevel="0" collapsed="false">
      <c r="A47" s="4" t="s">
        <v>42</v>
      </c>
      <c r="B47" s="5" t="s">
        <v>37</v>
      </c>
      <c r="C47" s="4" t="s">
        <v>15</v>
      </c>
      <c r="D47" s="4" t="s">
        <v>16</v>
      </c>
      <c r="E47" s="6" t="n">
        <v>329</v>
      </c>
      <c r="F47" s="7" t="n">
        <v>0.02</v>
      </c>
      <c r="G47" s="7" t="n">
        <f aca="false">1-F47</f>
        <v>0.98</v>
      </c>
      <c r="H47" s="7" t="n">
        <v>1</v>
      </c>
      <c r="I47" s="8" t="s">
        <v>17</v>
      </c>
      <c r="J47" s="9" t="s">
        <v>18</v>
      </c>
      <c r="K47" s="10" t="s">
        <v>19</v>
      </c>
    </row>
    <row r="48" customFormat="false" ht="15" hidden="false" customHeight="false" outlineLevel="0" collapsed="false">
      <c r="A48" s="11" t="s">
        <v>42</v>
      </c>
      <c r="B48" s="12" t="s">
        <v>38</v>
      </c>
      <c r="C48" s="11" t="s">
        <v>15</v>
      </c>
      <c r="D48" s="11" t="s">
        <v>16</v>
      </c>
      <c r="E48" s="13" t="n">
        <v>423</v>
      </c>
      <c r="F48" s="14" t="n">
        <v>0.04</v>
      </c>
      <c r="G48" s="14" t="n">
        <f aca="false">1-F48</f>
        <v>0.96</v>
      </c>
      <c r="H48" s="14" t="n">
        <v>1</v>
      </c>
      <c r="I48" s="15" t="s">
        <v>17</v>
      </c>
      <c r="J48" s="9" t="s">
        <v>18</v>
      </c>
      <c r="K48" s="16" t="s">
        <v>19</v>
      </c>
    </row>
    <row r="49" customFormat="false" ht="15" hidden="false" customHeight="false" outlineLevel="0" collapsed="false">
      <c r="A49" s="4" t="s">
        <v>42</v>
      </c>
      <c r="B49" s="5" t="s">
        <v>39</v>
      </c>
      <c r="C49" s="4" t="s">
        <v>43</v>
      </c>
      <c r="D49" s="4" t="s">
        <v>16</v>
      </c>
      <c r="E49" s="6" t="n">
        <v>417</v>
      </c>
      <c r="F49" s="7" t="n">
        <v>0</v>
      </c>
      <c r="G49" s="7" t="n">
        <f aca="false">1-F49</f>
        <v>1</v>
      </c>
      <c r="H49" s="7" t="n">
        <v>0.77</v>
      </c>
      <c r="I49" s="8" t="s">
        <v>17</v>
      </c>
      <c r="J49" s="17" t="s">
        <v>44</v>
      </c>
      <c r="K49" s="10" t="s">
        <v>50</v>
      </c>
    </row>
    <row r="50" customFormat="false" ht="15" hidden="false" customHeight="false" outlineLevel="0" collapsed="false">
      <c r="A50" s="11" t="s">
        <v>42</v>
      </c>
      <c r="B50" s="12" t="s">
        <v>40</v>
      </c>
      <c r="C50" s="11" t="s">
        <v>43</v>
      </c>
      <c r="D50" s="11" t="s">
        <v>16</v>
      </c>
      <c r="E50" s="13" t="n">
        <v>591</v>
      </c>
      <c r="F50" s="14" t="n">
        <v>0</v>
      </c>
      <c r="G50" s="14" t="n">
        <f aca="false">1-F50</f>
        <v>1</v>
      </c>
      <c r="H50" s="14" t="n">
        <v>0.73</v>
      </c>
      <c r="I50" s="15" t="s">
        <v>17</v>
      </c>
      <c r="J50" s="17" t="s">
        <v>44</v>
      </c>
      <c r="K50" s="16" t="s">
        <v>51</v>
      </c>
    </row>
    <row r="51" customFormat="false" ht="15" hidden="false" customHeight="false" outlineLevel="0" collapsed="false">
      <c r="A51" s="4" t="s">
        <v>42</v>
      </c>
      <c r="B51" s="5" t="s">
        <v>41</v>
      </c>
      <c r="C51" s="4" t="s">
        <v>43</v>
      </c>
      <c r="D51" s="4" t="s">
        <v>16</v>
      </c>
      <c r="E51" s="6" t="n">
        <v>644</v>
      </c>
      <c r="F51" s="7" t="n">
        <v>0</v>
      </c>
      <c r="G51" s="7" t="n">
        <f aca="false">1-F51</f>
        <v>1</v>
      </c>
      <c r="H51" s="7" t="n">
        <v>0.77</v>
      </c>
      <c r="I51" s="8" t="s">
        <v>17</v>
      </c>
      <c r="J51" s="17" t="s">
        <v>44</v>
      </c>
      <c r="K51" s="10" t="s">
        <v>50</v>
      </c>
    </row>
    <row r="52" customFormat="false" ht="15" hidden="false" customHeight="false" outlineLevel="0" collapsed="false">
      <c r="A52" s="11" t="s">
        <v>52</v>
      </c>
      <c r="B52" s="12" t="s">
        <v>14</v>
      </c>
      <c r="C52" s="11" t="s">
        <v>53</v>
      </c>
      <c r="D52" s="11" t="s">
        <v>16</v>
      </c>
      <c r="E52" s="13" t="n">
        <v>210</v>
      </c>
      <c r="F52" s="14" t="n">
        <v>0.01</v>
      </c>
      <c r="G52" s="14" t="n">
        <f aca="false">1-F52</f>
        <v>0.99</v>
      </c>
      <c r="H52" s="14" t="n">
        <v>1</v>
      </c>
      <c r="I52" s="15" t="s">
        <v>17</v>
      </c>
      <c r="J52" s="9" t="s">
        <v>18</v>
      </c>
      <c r="K52" s="16" t="s">
        <v>19</v>
      </c>
    </row>
    <row r="53" customFormat="false" ht="15" hidden="false" customHeight="false" outlineLevel="0" collapsed="false">
      <c r="A53" s="4" t="s">
        <v>52</v>
      </c>
      <c r="B53" s="5" t="s">
        <v>20</v>
      </c>
      <c r="C53" s="4" t="s">
        <v>15</v>
      </c>
      <c r="D53" s="4" t="s">
        <v>16</v>
      </c>
      <c r="E53" s="6" t="n">
        <v>433</v>
      </c>
      <c r="F53" s="7" t="n">
        <v>0.03</v>
      </c>
      <c r="G53" s="7" t="n">
        <f aca="false">1-F53</f>
        <v>0.97</v>
      </c>
      <c r="H53" s="7" t="n">
        <v>0.99</v>
      </c>
      <c r="I53" s="8" t="s">
        <v>17</v>
      </c>
      <c r="J53" s="9" t="s">
        <v>18</v>
      </c>
      <c r="K53" s="10" t="s">
        <v>19</v>
      </c>
    </row>
    <row r="54" customFormat="false" ht="15" hidden="false" customHeight="false" outlineLevel="0" collapsed="false">
      <c r="A54" s="11" t="s">
        <v>52</v>
      </c>
      <c r="B54" s="12" t="s">
        <v>21</v>
      </c>
      <c r="C54" s="11" t="s">
        <v>15</v>
      </c>
      <c r="D54" s="11" t="s">
        <v>16</v>
      </c>
      <c r="E54" s="13" t="n">
        <v>215</v>
      </c>
      <c r="F54" s="14" t="n">
        <v>0.01</v>
      </c>
      <c r="G54" s="14" t="n">
        <f aca="false">1-F54</f>
        <v>0.99</v>
      </c>
      <c r="H54" s="14" t="n">
        <v>1</v>
      </c>
      <c r="I54" s="15" t="s">
        <v>17</v>
      </c>
      <c r="J54" s="9" t="s">
        <v>18</v>
      </c>
      <c r="K54" s="16" t="s">
        <v>19</v>
      </c>
    </row>
    <row r="55" customFormat="false" ht="15" hidden="false" customHeight="false" outlineLevel="0" collapsed="false">
      <c r="A55" s="4" t="s">
        <v>52</v>
      </c>
      <c r="B55" s="5" t="s">
        <v>22</v>
      </c>
      <c r="C55" s="4" t="s">
        <v>15</v>
      </c>
      <c r="D55" s="4" t="s">
        <v>16</v>
      </c>
      <c r="E55" s="6" t="n">
        <v>447</v>
      </c>
      <c r="F55" s="7" t="n">
        <v>0.03</v>
      </c>
      <c r="G55" s="7" t="n">
        <f aca="false">1-F55</f>
        <v>0.97</v>
      </c>
      <c r="H55" s="7" t="n">
        <v>1</v>
      </c>
      <c r="I55" s="8" t="s">
        <v>17</v>
      </c>
      <c r="J55" s="9" t="s">
        <v>18</v>
      </c>
      <c r="K55" s="10" t="s">
        <v>19</v>
      </c>
    </row>
    <row r="56" customFormat="false" ht="15" hidden="false" customHeight="false" outlineLevel="0" collapsed="false">
      <c r="A56" s="11" t="s">
        <v>52</v>
      </c>
      <c r="B56" s="12" t="s">
        <v>23</v>
      </c>
      <c r="C56" s="11" t="s">
        <v>15</v>
      </c>
      <c r="D56" s="11" t="s">
        <v>16</v>
      </c>
      <c r="E56" s="13" t="n">
        <v>371</v>
      </c>
      <c r="F56" s="14" t="n">
        <v>0.02</v>
      </c>
      <c r="G56" s="14" t="n">
        <f aca="false">1-F56</f>
        <v>0.98</v>
      </c>
      <c r="H56" s="14" t="n">
        <v>1</v>
      </c>
      <c r="I56" s="15" t="s">
        <v>17</v>
      </c>
      <c r="J56" s="9" t="s">
        <v>18</v>
      </c>
      <c r="K56" s="16" t="s">
        <v>19</v>
      </c>
    </row>
    <row r="57" customFormat="false" ht="15" hidden="false" customHeight="false" outlineLevel="0" collapsed="false">
      <c r="A57" s="4" t="s">
        <v>52</v>
      </c>
      <c r="B57" s="5" t="s">
        <v>24</v>
      </c>
      <c r="C57" s="4" t="s">
        <v>15</v>
      </c>
      <c r="D57" s="4" t="s">
        <v>16</v>
      </c>
      <c r="E57" s="6" t="n">
        <v>388</v>
      </c>
      <c r="F57" s="7" t="n">
        <v>0.02</v>
      </c>
      <c r="G57" s="7" t="n">
        <f aca="false">1-F57</f>
        <v>0.98</v>
      </c>
      <c r="H57" s="7" t="n">
        <v>1</v>
      </c>
      <c r="I57" s="8" t="s">
        <v>17</v>
      </c>
      <c r="J57" s="9" t="s">
        <v>18</v>
      </c>
      <c r="K57" s="10" t="s">
        <v>19</v>
      </c>
    </row>
    <row r="58" customFormat="false" ht="15" hidden="false" customHeight="false" outlineLevel="0" collapsed="false">
      <c r="A58" s="11" t="s">
        <v>52</v>
      </c>
      <c r="B58" s="12" t="s">
        <v>25</v>
      </c>
      <c r="C58" s="11" t="s">
        <v>15</v>
      </c>
      <c r="D58" s="11" t="s">
        <v>16</v>
      </c>
      <c r="E58" s="13" t="n">
        <v>569</v>
      </c>
      <c r="F58" s="14" t="n">
        <v>0.04</v>
      </c>
      <c r="G58" s="14" t="n">
        <f aca="false">1-F58</f>
        <v>0.96</v>
      </c>
      <c r="H58" s="14" t="n">
        <v>1</v>
      </c>
      <c r="I58" s="15" t="s">
        <v>17</v>
      </c>
      <c r="J58" s="9" t="s">
        <v>18</v>
      </c>
      <c r="K58" s="16" t="s">
        <v>19</v>
      </c>
    </row>
    <row r="59" customFormat="false" ht="15" hidden="false" customHeight="false" outlineLevel="0" collapsed="false">
      <c r="A59" s="4" t="s">
        <v>52</v>
      </c>
      <c r="B59" s="5" t="s">
        <v>26</v>
      </c>
      <c r="C59" s="4" t="s">
        <v>53</v>
      </c>
      <c r="D59" s="4" t="s">
        <v>16</v>
      </c>
      <c r="E59" s="6" t="n">
        <v>198</v>
      </c>
      <c r="F59" s="7" t="n">
        <v>0.01</v>
      </c>
      <c r="G59" s="7" t="n">
        <f aca="false">1-F59</f>
        <v>0.99</v>
      </c>
      <c r="H59" s="7" t="n">
        <v>1</v>
      </c>
      <c r="I59" s="8" t="s">
        <v>17</v>
      </c>
      <c r="J59" s="9" t="s">
        <v>18</v>
      </c>
      <c r="K59" s="10" t="s">
        <v>19</v>
      </c>
    </row>
    <row r="60" customFormat="false" ht="15" hidden="false" customHeight="false" outlineLevel="0" collapsed="false">
      <c r="A60" s="11" t="s">
        <v>52</v>
      </c>
      <c r="B60" s="12" t="s">
        <v>27</v>
      </c>
      <c r="C60" s="11" t="s">
        <v>43</v>
      </c>
      <c r="D60" s="11" t="s">
        <v>16</v>
      </c>
      <c r="E60" s="13" t="n">
        <v>256</v>
      </c>
      <c r="F60" s="14" t="n">
        <v>0</v>
      </c>
      <c r="G60" s="14" t="n">
        <f aca="false">1-F60</f>
        <v>1</v>
      </c>
      <c r="H60" s="14" t="n">
        <v>0.68</v>
      </c>
      <c r="I60" s="15" t="s">
        <v>17</v>
      </c>
      <c r="J60" s="17" t="s">
        <v>44</v>
      </c>
      <c r="K60" s="16" t="s">
        <v>54</v>
      </c>
    </row>
    <row r="61" customFormat="false" ht="15" hidden="false" customHeight="false" outlineLevel="0" collapsed="false">
      <c r="A61" s="4" t="s">
        <v>52</v>
      </c>
      <c r="B61" s="5" t="s">
        <v>28</v>
      </c>
      <c r="C61" s="4" t="s">
        <v>43</v>
      </c>
      <c r="D61" s="4" t="s">
        <v>16</v>
      </c>
      <c r="E61" s="6" t="n">
        <v>670</v>
      </c>
      <c r="F61" s="7" t="n">
        <v>0</v>
      </c>
      <c r="G61" s="7" t="n">
        <f aca="false">1-F61</f>
        <v>1</v>
      </c>
      <c r="H61" s="7" t="n">
        <v>0.75</v>
      </c>
      <c r="I61" s="8" t="s">
        <v>17</v>
      </c>
      <c r="J61" s="17" t="s">
        <v>44</v>
      </c>
      <c r="K61" s="10" t="s">
        <v>55</v>
      </c>
    </row>
    <row r="62" customFormat="false" ht="15" hidden="false" customHeight="false" outlineLevel="0" collapsed="false">
      <c r="A62" s="11" t="s">
        <v>52</v>
      </c>
      <c r="B62" s="12" t="s">
        <v>29</v>
      </c>
      <c r="C62" s="11" t="s">
        <v>53</v>
      </c>
      <c r="D62" s="11" t="s">
        <v>16</v>
      </c>
      <c r="E62" s="13" t="n">
        <v>196</v>
      </c>
      <c r="F62" s="14" t="n">
        <v>0.01</v>
      </c>
      <c r="G62" s="14" t="n">
        <f aca="false">1-F62</f>
        <v>0.99</v>
      </c>
      <c r="H62" s="14" t="n">
        <v>1</v>
      </c>
      <c r="I62" s="15" t="s">
        <v>17</v>
      </c>
      <c r="J62" s="9" t="s">
        <v>18</v>
      </c>
      <c r="K62" s="16" t="s">
        <v>19</v>
      </c>
    </row>
    <row r="63" customFormat="false" ht="15" hidden="false" customHeight="false" outlineLevel="0" collapsed="false">
      <c r="A63" s="4" t="s">
        <v>52</v>
      </c>
      <c r="B63" s="5" t="s">
        <v>30</v>
      </c>
      <c r="C63" s="4" t="s">
        <v>15</v>
      </c>
      <c r="D63" s="4" t="s">
        <v>16</v>
      </c>
      <c r="E63" s="6" t="n">
        <v>347</v>
      </c>
      <c r="F63" s="7" t="n">
        <v>0.02</v>
      </c>
      <c r="G63" s="7" t="n">
        <f aca="false">1-F63</f>
        <v>0.98</v>
      </c>
      <c r="H63" s="7" t="n">
        <v>0.99</v>
      </c>
      <c r="I63" s="8" t="s">
        <v>17</v>
      </c>
      <c r="J63" s="9" t="s">
        <v>18</v>
      </c>
      <c r="K63" s="10" t="s">
        <v>19</v>
      </c>
    </row>
    <row r="64" customFormat="false" ht="15" hidden="false" customHeight="false" outlineLevel="0" collapsed="false">
      <c r="A64" s="11" t="s">
        <v>52</v>
      </c>
      <c r="B64" s="12" t="s">
        <v>31</v>
      </c>
      <c r="C64" s="11" t="s">
        <v>56</v>
      </c>
      <c r="D64" s="11" t="s">
        <v>16</v>
      </c>
      <c r="E64" s="13" t="n">
        <v>221</v>
      </c>
      <c r="F64" s="14" t="n">
        <v>0</v>
      </c>
      <c r="G64" s="14" t="n">
        <f aca="false">1-F64</f>
        <v>1</v>
      </c>
      <c r="H64" s="14" t="n">
        <v>1</v>
      </c>
      <c r="I64" s="15" t="s">
        <v>17</v>
      </c>
      <c r="J64" s="9" t="s">
        <v>18</v>
      </c>
      <c r="K64" s="16" t="s">
        <v>19</v>
      </c>
    </row>
    <row r="65" customFormat="false" ht="15" hidden="false" customHeight="false" outlineLevel="0" collapsed="false">
      <c r="A65" s="4" t="s">
        <v>52</v>
      </c>
      <c r="B65" s="5" t="s">
        <v>32</v>
      </c>
      <c r="C65" s="4" t="s">
        <v>15</v>
      </c>
      <c r="D65" s="4" t="s">
        <v>16</v>
      </c>
      <c r="E65" s="6" t="n">
        <v>443</v>
      </c>
      <c r="F65" s="7" t="n">
        <v>0.03</v>
      </c>
      <c r="G65" s="7" t="n">
        <f aca="false">1-F65</f>
        <v>0.97</v>
      </c>
      <c r="H65" s="7" t="n">
        <v>1</v>
      </c>
      <c r="I65" s="8" t="s">
        <v>17</v>
      </c>
      <c r="J65" s="9" t="s">
        <v>18</v>
      </c>
      <c r="K65" s="10" t="s">
        <v>19</v>
      </c>
    </row>
    <row r="66" customFormat="false" ht="15" hidden="false" customHeight="false" outlineLevel="0" collapsed="false">
      <c r="A66" s="11" t="s">
        <v>52</v>
      </c>
      <c r="B66" s="12" t="s">
        <v>33</v>
      </c>
      <c r="C66" s="11" t="s">
        <v>15</v>
      </c>
      <c r="D66" s="11" t="s">
        <v>16</v>
      </c>
      <c r="E66" s="13" t="n">
        <v>473</v>
      </c>
      <c r="F66" s="14" t="n">
        <v>0.03</v>
      </c>
      <c r="G66" s="14" t="n">
        <f aca="false">1-F66</f>
        <v>0.97</v>
      </c>
      <c r="H66" s="14" t="n">
        <v>1</v>
      </c>
      <c r="I66" s="15" t="s">
        <v>17</v>
      </c>
      <c r="J66" s="9" t="s">
        <v>18</v>
      </c>
      <c r="K66" s="16" t="s">
        <v>19</v>
      </c>
    </row>
    <row r="67" customFormat="false" ht="15" hidden="false" customHeight="false" outlineLevel="0" collapsed="false">
      <c r="A67" s="4" t="s">
        <v>52</v>
      </c>
      <c r="B67" s="5" t="s">
        <v>34</v>
      </c>
      <c r="C67" s="4" t="s">
        <v>15</v>
      </c>
      <c r="D67" s="4" t="s">
        <v>16</v>
      </c>
      <c r="E67" s="6" t="n">
        <v>524</v>
      </c>
      <c r="F67" s="7" t="n">
        <v>0.04</v>
      </c>
      <c r="G67" s="7" t="n">
        <f aca="false">1-F67</f>
        <v>0.96</v>
      </c>
      <c r="H67" s="7" t="n">
        <v>0.99</v>
      </c>
      <c r="I67" s="8" t="s">
        <v>17</v>
      </c>
      <c r="J67" s="9" t="s">
        <v>18</v>
      </c>
      <c r="K67" s="10" t="s">
        <v>19</v>
      </c>
    </row>
    <row r="68" customFormat="false" ht="15" hidden="false" customHeight="false" outlineLevel="0" collapsed="false">
      <c r="A68" s="11" t="s">
        <v>52</v>
      </c>
      <c r="B68" s="12" t="s">
        <v>35</v>
      </c>
      <c r="C68" s="11" t="s">
        <v>56</v>
      </c>
      <c r="D68" s="11" t="s">
        <v>16</v>
      </c>
      <c r="E68" s="13" t="n">
        <v>225</v>
      </c>
      <c r="F68" s="14" t="n">
        <v>0</v>
      </c>
      <c r="G68" s="14" t="n">
        <f aca="false">1-F68</f>
        <v>1</v>
      </c>
      <c r="H68" s="14" t="n">
        <v>1</v>
      </c>
      <c r="I68" s="15" t="s">
        <v>17</v>
      </c>
      <c r="J68" s="9" t="s">
        <v>18</v>
      </c>
      <c r="K68" s="16" t="s">
        <v>19</v>
      </c>
    </row>
    <row r="69" customFormat="false" ht="15" hidden="false" customHeight="false" outlineLevel="0" collapsed="false">
      <c r="A69" s="4" t="s">
        <v>52</v>
      </c>
      <c r="B69" s="5" t="s">
        <v>36</v>
      </c>
      <c r="C69" s="4" t="s">
        <v>56</v>
      </c>
      <c r="D69" s="4" t="s">
        <v>16</v>
      </c>
      <c r="E69" s="6" t="n">
        <v>208</v>
      </c>
      <c r="F69" s="7" t="n">
        <v>0</v>
      </c>
      <c r="G69" s="7" t="n">
        <f aca="false">1-F69</f>
        <v>1</v>
      </c>
      <c r="H69" s="7" t="n">
        <v>1</v>
      </c>
      <c r="I69" s="8" t="s">
        <v>17</v>
      </c>
      <c r="J69" s="9" t="s">
        <v>18</v>
      </c>
      <c r="K69" s="10" t="s">
        <v>19</v>
      </c>
    </row>
    <row r="70" customFormat="false" ht="15" hidden="false" customHeight="false" outlineLevel="0" collapsed="false">
      <c r="A70" s="11" t="s">
        <v>52</v>
      </c>
      <c r="B70" s="12" t="s">
        <v>49</v>
      </c>
      <c r="C70" s="11" t="s">
        <v>56</v>
      </c>
      <c r="D70" s="11" t="s">
        <v>16</v>
      </c>
      <c r="E70" s="13" t="n">
        <v>214</v>
      </c>
      <c r="F70" s="14" t="n">
        <v>0</v>
      </c>
      <c r="G70" s="14" t="n">
        <f aca="false">1-F70</f>
        <v>1</v>
      </c>
      <c r="H70" s="14" t="n">
        <v>1</v>
      </c>
      <c r="I70" s="15" t="s">
        <v>17</v>
      </c>
      <c r="J70" s="9" t="s">
        <v>18</v>
      </c>
      <c r="K70" s="16" t="s">
        <v>19</v>
      </c>
    </row>
    <row r="71" customFormat="false" ht="15" hidden="false" customHeight="false" outlineLevel="0" collapsed="false">
      <c r="A71" s="4" t="s">
        <v>52</v>
      </c>
      <c r="B71" s="5" t="s">
        <v>37</v>
      </c>
      <c r="C71" s="4" t="s">
        <v>56</v>
      </c>
      <c r="D71" s="4" t="s">
        <v>16</v>
      </c>
      <c r="E71" s="6" t="n">
        <v>176</v>
      </c>
      <c r="F71" s="7" t="n">
        <v>0</v>
      </c>
      <c r="G71" s="7" t="n">
        <f aca="false">1-F71</f>
        <v>1</v>
      </c>
      <c r="H71" s="7" t="n">
        <v>1</v>
      </c>
      <c r="I71" s="8" t="s">
        <v>17</v>
      </c>
      <c r="J71" s="9" t="s">
        <v>18</v>
      </c>
      <c r="K71" s="10" t="s">
        <v>19</v>
      </c>
    </row>
    <row r="72" customFormat="false" ht="15" hidden="false" customHeight="false" outlineLevel="0" collapsed="false">
      <c r="A72" s="11" t="s">
        <v>52</v>
      </c>
      <c r="B72" s="12" t="s">
        <v>38</v>
      </c>
      <c r="C72" s="11" t="s">
        <v>15</v>
      </c>
      <c r="D72" s="11" t="s">
        <v>16</v>
      </c>
      <c r="E72" s="13" t="n">
        <v>256</v>
      </c>
      <c r="F72" s="14" t="n">
        <v>0.03</v>
      </c>
      <c r="G72" s="14" t="n">
        <f aca="false">1-F72</f>
        <v>0.97</v>
      </c>
      <c r="H72" s="14" t="n">
        <v>0.99</v>
      </c>
      <c r="I72" s="15" t="s">
        <v>17</v>
      </c>
      <c r="J72" s="9" t="s">
        <v>18</v>
      </c>
      <c r="K72" s="16" t="s">
        <v>19</v>
      </c>
    </row>
    <row r="73" customFormat="false" ht="15" hidden="false" customHeight="false" outlineLevel="0" collapsed="false">
      <c r="A73" s="4" t="s">
        <v>52</v>
      </c>
      <c r="B73" s="5" t="s">
        <v>39</v>
      </c>
      <c r="C73" s="4" t="s">
        <v>56</v>
      </c>
      <c r="D73" s="4" t="s">
        <v>16</v>
      </c>
      <c r="E73" s="6" t="n">
        <v>164</v>
      </c>
      <c r="F73" s="7" t="n">
        <v>0</v>
      </c>
      <c r="G73" s="7" t="n">
        <f aca="false">1-F73</f>
        <v>1</v>
      </c>
      <c r="H73" s="7" t="n">
        <v>1</v>
      </c>
      <c r="I73" s="8" t="s">
        <v>17</v>
      </c>
      <c r="J73" s="9" t="s">
        <v>18</v>
      </c>
      <c r="K73" s="10" t="s">
        <v>19</v>
      </c>
    </row>
    <row r="74" customFormat="false" ht="15" hidden="false" customHeight="false" outlineLevel="0" collapsed="false">
      <c r="A74" s="11" t="s">
        <v>52</v>
      </c>
      <c r="B74" s="12" t="s">
        <v>40</v>
      </c>
      <c r="C74" s="11" t="s">
        <v>56</v>
      </c>
      <c r="D74" s="11" t="s">
        <v>16</v>
      </c>
      <c r="E74" s="13" t="n">
        <v>174</v>
      </c>
      <c r="F74" s="14" t="n">
        <v>0</v>
      </c>
      <c r="G74" s="14" t="n">
        <f aca="false">1-F74</f>
        <v>1</v>
      </c>
      <c r="H74" s="14" t="n">
        <v>1</v>
      </c>
      <c r="I74" s="15" t="s">
        <v>17</v>
      </c>
      <c r="J74" s="9" t="s">
        <v>18</v>
      </c>
      <c r="K74" s="16" t="s">
        <v>19</v>
      </c>
    </row>
    <row r="75" customFormat="false" ht="15" hidden="false" customHeight="false" outlineLevel="0" collapsed="false">
      <c r="A75" s="4" t="s">
        <v>52</v>
      </c>
      <c r="B75" s="5" t="s">
        <v>41</v>
      </c>
      <c r="C75" s="4" t="s">
        <v>56</v>
      </c>
      <c r="D75" s="4" t="s">
        <v>16</v>
      </c>
      <c r="E75" s="6" t="n">
        <v>160</v>
      </c>
      <c r="F75" s="7" t="n">
        <v>0</v>
      </c>
      <c r="G75" s="7" t="n">
        <f aca="false">1-F75</f>
        <v>1</v>
      </c>
      <c r="H75" s="7" t="n">
        <v>1</v>
      </c>
      <c r="I75" s="8" t="s">
        <v>17</v>
      </c>
      <c r="J75" s="9" t="s">
        <v>18</v>
      </c>
      <c r="K75" s="10" t="s">
        <v>19</v>
      </c>
    </row>
    <row r="76" customFormat="false" ht="15" hidden="false" customHeight="false" outlineLevel="0" collapsed="false">
      <c r="A76" s="11" t="s">
        <v>57</v>
      </c>
      <c r="B76" s="12" t="s">
        <v>14</v>
      </c>
      <c r="C76" s="11" t="s">
        <v>56</v>
      </c>
      <c r="D76" s="11" t="s">
        <v>16</v>
      </c>
      <c r="E76" s="13" t="n">
        <v>233</v>
      </c>
      <c r="F76" s="14" t="n">
        <v>0</v>
      </c>
      <c r="G76" s="14" t="n">
        <f aca="false">1-F76</f>
        <v>1</v>
      </c>
      <c r="H76" s="14" t="n">
        <v>1</v>
      </c>
      <c r="I76" s="15" t="s">
        <v>17</v>
      </c>
      <c r="J76" s="9" t="s">
        <v>18</v>
      </c>
      <c r="K76" s="16" t="s">
        <v>19</v>
      </c>
    </row>
    <row r="77" customFormat="false" ht="15" hidden="false" customHeight="false" outlineLevel="0" collapsed="false">
      <c r="A77" s="4" t="s">
        <v>57</v>
      </c>
      <c r="B77" s="5" t="s">
        <v>20</v>
      </c>
      <c r="C77" s="4" t="s">
        <v>56</v>
      </c>
      <c r="D77" s="4" t="s">
        <v>16</v>
      </c>
      <c r="E77" s="6" t="n">
        <v>215</v>
      </c>
      <c r="F77" s="7" t="n">
        <v>0.01</v>
      </c>
      <c r="G77" s="7" t="n">
        <f aca="false">1-F77</f>
        <v>0.99</v>
      </c>
      <c r="H77" s="7" t="n">
        <v>1</v>
      </c>
      <c r="I77" s="8" t="s">
        <v>17</v>
      </c>
      <c r="J77" s="9" t="s">
        <v>18</v>
      </c>
      <c r="K77" s="10" t="s">
        <v>19</v>
      </c>
    </row>
    <row r="78" customFormat="false" ht="15" hidden="false" customHeight="false" outlineLevel="0" collapsed="false">
      <c r="A78" s="11" t="s">
        <v>57</v>
      </c>
      <c r="B78" s="12" t="s">
        <v>21</v>
      </c>
      <c r="C78" s="11" t="s">
        <v>56</v>
      </c>
      <c r="D78" s="11" t="s">
        <v>16</v>
      </c>
      <c r="E78" s="13" t="n">
        <v>200</v>
      </c>
      <c r="F78" s="14" t="n">
        <v>0</v>
      </c>
      <c r="G78" s="14" t="n">
        <f aca="false">1-F78</f>
        <v>1</v>
      </c>
      <c r="H78" s="14" t="n">
        <v>1</v>
      </c>
      <c r="I78" s="15" t="s">
        <v>17</v>
      </c>
      <c r="J78" s="9" t="s">
        <v>18</v>
      </c>
      <c r="K78" s="16" t="s">
        <v>19</v>
      </c>
    </row>
    <row r="79" customFormat="false" ht="15" hidden="false" customHeight="false" outlineLevel="0" collapsed="false">
      <c r="A79" s="4" t="s">
        <v>57</v>
      </c>
      <c r="B79" s="5" t="s">
        <v>22</v>
      </c>
      <c r="C79" s="4" t="s">
        <v>56</v>
      </c>
      <c r="D79" s="4" t="s">
        <v>16</v>
      </c>
      <c r="E79" s="6" t="n">
        <v>200</v>
      </c>
      <c r="F79" s="7" t="n">
        <v>0</v>
      </c>
      <c r="G79" s="7" t="n">
        <f aca="false">1-F79</f>
        <v>1</v>
      </c>
      <c r="H79" s="7" t="n">
        <v>1</v>
      </c>
      <c r="I79" s="8" t="s">
        <v>17</v>
      </c>
      <c r="J79" s="9" t="s">
        <v>18</v>
      </c>
      <c r="K79" s="10" t="s">
        <v>19</v>
      </c>
    </row>
    <row r="80" customFormat="false" ht="15" hidden="false" customHeight="false" outlineLevel="0" collapsed="false">
      <c r="A80" s="11" t="s">
        <v>57</v>
      </c>
      <c r="B80" s="12" t="s">
        <v>23</v>
      </c>
      <c r="C80" s="11" t="s">
        <v>15</v>
      </c>
      <c r="D80" s="11" t="s">
        <v>16</v>
      </c>
      <c r="E80" s="13" t="n">
        <v>406</v>
      </c>
      <c r="F80" s="14" t="n">
        <v>0.03</v>
      </c>
      <c r="G80" s="14" t="n">
        <f aca="false">1-F80</f>
        <v>0.97</v>
      </c>
      <c r="H80" s="14" t="n">
        <v>1</v>
      </c>
      <c r="I80" s="15" t="s">
        <v>17</v>
      </c>
      <c r="J80" s="9" t="s">
        <v>18</v>
      </c>
      <c r="K80" s="16" t="s">
        <v>19</v>
      </c>
    </row>
    <row r="81" customFormat="false" ht="15" hidden="false" customHeight="false" outlineLevel="0" collapsed="false">
      <c r="A81" s="4" t="s">
        <v>57</v>
      </c>
      <c r="B81" s="5" t="s">
        <v>24</v>
      </c>
      <c r="C81" s="4" t="s">
        <v>15</v>
      </c>
      <c r="D81" s="4" t="s">
        <v>16</v>
      </c>
      <c r="E81" s="6" t="n">
        <v>389</v>
      </c>
      <c r="F81" s="7" t="n">
        <v>0.02</v>
      </c>
      <c r="G81" s="7" t="n">
        <f aca="false">1-F81</f>
        <v>0.98</v>
      </c>
      <c r="H81" s="7" t="n">
        <v>0.99</v>
      </c>
      <c r="I81" s="8" t="s">
        <v>17</v>
      </c>
      <c r="J81" s="9" t="s">
        <v>18</v>
      </c>
      <c r="K81" s="10" t="s">
        <v>19</v>
      </c>
    </row>
    <row r="82" customFormat="false" ht="15" hidden="false" customHeight="false" outlineLevel="0" collapsed="false">
      <c r="A82" s="11" t="s">
        <v>57</v>
      </c>
      <c r="B82" s="12" t="s">
        <v>25</v>
      </c>
      <c r="C82" s="11" t="s">
        <v>15</v>
      </c>
      <c r="D82" s="11" t="s">
        <v>16</v>
      </c>
      <c r="E82" s="13" t="n">
        <v>503</v>
      </c>
      <c r="F82" s="14" t="n">
        <v>0.04</v>
      </c>
      <c r="G82" s="14" t="n">
        <f aca="false">1-F82</f>
        <v>0.96</v>
      </c>
      <c r="H82" s="14" t="n">
        <v>1</v>
      </c>
      <c r="I82" s="15" t="s">
        <v>17</v>
      </c>
      <c r="J82" s="9" t="s">
        <v>18</v>
      </c>
      <c r="K82" s="16" t="s">
        <v>19</v>
      </c>
    </row>
    <row r="83" customFormat="false" ht="15" hidden="false" customHeight="false" outlineLevel="0" collapsed="false">
      <c r="A83" s="4" t="s">
        <v>57</v>
      </c>
      <c r="B83" s="5" t="s">
        <v>26</v>
      </c>
      <c r="C83" s="4" t="s">
        <v>15</v>
      </c>
      <c r="D83" s="4" t="s">
        <v>16</v>
      </c>
      <c r="E83" s="6" t="n">
        <v>466</v>
      </c>
      <c r="F83" s="7" t="n">
        <v>0.04</v>
      </c>
      <c r="G83" s="7" t="n">
        <f aca="false">1-F83</f>
        <v>0.96</v>
      </c>
      <c r="H83" s="7" t="n">
        <v>0.99</v>
      </c>
      <c r="I83" s="8" t="s">
        <v>17</v>
      </c>
      <c r="J83" s="9" t="s">
        <v>18</v>
      </c>
      <c r="K83" s="10" t="s">
        <v>19</v>
      </c>
    </row>
    <row r="84" customFormat="false" ht="15" hidden="false" customHeight="false" outlineLevel="0" collapsed="false">
      <c r="A84" s="11" t="s">
        <v>57</v>
      </c>
      <c r="B84" s="12" t="s">
        <v>27</v>
      </c>
      <c r="C84" s="11" t="s">
        <v>15</v>
      </c>
      <c r="D84" s="11" t="s">
        <v>16</v>
      </c>
      <c r="E84" s="13" t="n">
        <v>414</v>
      </c>
      <c r="F84" s="14" t="n">
        <v>0.03</v>
      </c>
      <c r="G84" s="14" t="n">
        <f aca="false">1-F84</f>
        <v>0.97</v>
      </c>
      <c r="H84" s="14" t="n">
        <v>1</v>
      </c>
      <c r="I84" s="15" t="s">
        <v>17</v>
      </c>
      <c r="J84" s="9" t="s">
        <v>18</v>
      </c>
      <c r="K84" s="16" t="s">
        <v>19</v>
      </c>
    </row>
    <row r="85" customFormat="false" ht="15" hidden="false" customHeight="false" outlineLevel="0" collapsed="false">
      <c r="A85" s="4" t="s">
        <v>57</v>
      </c>
      <c r="B85" s="5" t="s">
        <v>28</v>
      </c>
      <c r="C85" s="4" t="s">
        <v>15</v>
      </c>
      <c r="D85" s="4" t="s">
        <v>16</v>
      </c>
      <c r="E85" s="6" t="n">
        <v>181</v>
      </c>
      <c r="F85" s="7" t="n">
        <v>0.01</v>
      </c>
      <c r="G85" s="7" t="n">
        <f aca="false">1-F85</f>
        <v>0.99</v>
      </c>
      <c r="H85" s="7" t="n">
        <v>0.99</v>
      </c>
      <c r="I85" s="8" t="s">
        <v>17</v>
      </c>
      <c r="J85" s="9" t="s">
        <v>18</v>
      </c>
      <c r="K85" s="10" t="s">
        <v>19</v>
      </c>
    </row>
    <row r="86" customFormat="false" ht="15" hidden="false" customHeight="false" outlineLevel="0" collapsed="false">
      <c r="A86" s="11" t="s">
        <v>57</v>
      </c>
      <c r="B86" s="12" t="s">
        <v>29</v>
      </c>
      <c r="C86" s="11" t="s">
        <v>15</v>
      </c>
      <c r="D86" s="11" t="s">
        <v>16</v>
      </c>
      <c r="E86" s="13" t="n">
        <v>443</v>
      </c>
      <c r="F86" s="14" t="n">
        <v>0.03</v>
      </c>
      <c r="G86" s="14" t="n">
        <f aca="false">1-F86</f>
        <v>0.97</v>
      </c>
      <c r="H86" s="14" t="n">
        <v>0.99</v>
      </c>
      <c r="I86" s="15" t="s">
        <v>17</v>
      </c>
      <c r="J86" s="9" t="s">
        <v>18</v>
      </c>
      <c r="K86" s="16" t="s">
        <v>19</v>
      </c>
    </row>
    <row r="87" customFormat="false" ht="15" hidden="false" customHeight="false" outlineLevel="0" collapsed="false">
      <c r="A87" s="4" t="s">
        <v>57</v>
      </c>
      <c r="B87" s="5" t="s">
        <v>30</v>
      </c>
      <c r="C87" s="4" t="s">
        <v>15</v>
      </c>
      <c r="D87" s="4" t="s">
        <v>16</v>
      </c>
      <c r="E87" s="6" t="n">
        <v>426</v>
      </c>
      <c r="F87" s="7" t="n">
        <v>0.03</v>
      </c>
      <c r="G87" s="7" t="n">
        <f aca="false">1-F87</f>
        <v>0.97</v>
      </c>
      <c r="H87" s="7" t="n">
        <v>1</v>
      </c>
      <c r="I87" s="8" t="s">
        <v>17</v>
      </c>
      <c r="J87" s="9" t="s">
        <v>18</v>
      </c>
      <c r="K87" s="10" t="s">
        <v>19</v>
      </c>
    </row>
    <row r="88" customFormat="false" ht="15" hidden="false" customHeight="false" outlineLevel="0" collapsed="false">
      <c r="A88" s="11" t="s">
        <v>57</v>
      </c>
      <c r="B88" s="12" t="s">
        <v>31</v>
      </c>
      <c r="C88" s="11" t="s">
        <v>15</v>
      </c>
      <c r="D88" s="11" t="s">
        <v>16</v>
      </c>
      <c r="E88" s="13" t="n">
        <v>207</v>
      </c>
      <c r="F88" s="14" t="n">
        <v>0.01</v>
      </c>
      <c r="G88" s="14" t="n">
        <f aca="false">1-F88</f>
        <v>0.99</v>
      </c>
      <c r="H88" s="14" t="n">
        <v>1</v>
      </c>
      <c r="I88" s="15" t="s">
        <v>17</v>
      </c>
      <c r="J88" s="9" t="s">
        <v>18</v>
      </c>
      <c r="K88" s="16" t="s">
        <v>19</v>
      </c>
    </row>
    <row r="89" customFormat="false" ht="15" hidden="false" customHeight="false" outlineLevel="0" collapsed="false">
      <c r="A89" s="4" t="s">
        <v>57</v>
      </c>
      <c r="B89" s="5" t="s">
        <v>32</v>
      </c>
      <c r="C89" s="4" t="s">
        <v>15</v>
      </c>
      <c r="D89" s="4" t="s">
        <v>16</v>
      </c>
      <c r="E89" s="6" t="n">
        <v>406</v>
      </c>
      <c r="F89" s="7" t="n">
        <v>0.03</v>
      </c>
      <c r="G89" s="7" t="n">
        <f aca="false">1-F89</f>
        <v>0.97</v>
      </c>
      <c r="H89" s="7" t="n">
        <v>0.99</v>
      </c>
      <c r="I89" s="8" t="s">
        <v>17</v>
      </c>
      <c r="J89" s="9" t="s">
        <v>18</v>
      </c>
      <c r="K89" s="10" t="s">
        <v>19</v>
      </c>
    </row>
    <row r="90" customFormat="false" ht="15" hidden="false" customHeight="false" outlineLevel="0" collapsed="false">
      <c r="A90" s="11" t="s">
        <v>57</v>
      </c>
      <c r="B90" s="12" t="s">
        <v>33</v>
      </c>
      <c r="C90" s="11" t="s">
        <v>15</v>
      </c>
      <c r="D90" s="11" t="s">
        <v>16</v>
      </c>
      <c r="E90" s="13" t="n">
        <v>454</v>
      </c>
      <c r="F90" s="14" t="n">
        <v>0.03</v>
      </c>
      <c r="G90" s="14" t="n">
        <f aca="false">1-F90</f>
        <v>0.97</v>
      </c>
      <c r="H90" s="14" t="n">
        <v>0.99</v>
      </c>
      <c r="I90" s="15" t="s">
        <v>17</v>
      </c>
      <c r="J90" s="9" t="s">
        <v>18</v>
      </c>
      <c r="K90" s="16" t="s">
        <v>19</v>
      </c>
    </row>
    <row r="91" customFormat="false" ht="15" hidden="false" customHeight="false" outlineLevel="0" collapsed="false">
      <c r="A91" s="4" t="s">
        <v>57</v>
      </c>
      <c r="B91" s="5" t="s">
        <v>34</v>
      </c>
      <c r="C91" s="4" t="s">
        <v>15</v>
      </c>
      <c r="D91" s="4" t="s">
        <v>16</v>
      </c>
      <c r="E91" s="6" t="n">
        <v>499</v>
      </c>
      <c r="F91" s="7" t="n">
        <v>0.04</v>
      </c>
      <c r="G91" s="7" t="n">
        <f aca="false">1-F91</f>
        <v>0.96</v>
      </c>
      <c r="H91" s="7" t="n">
        <v>0.99</v>
      </c>
      <c r="I91" s="8" t="s">
        <v>17</v>
      </c>
      <c r="J91" s="9" t="s">
        <v>18</v>
      </c>
      <c r="K91" s="10" t="s">
        <v>19</v>
      </c>
    </row>
    <row r="92" customFormat="false" ht="15" hidden="false" customHeight="false" outlineLevel="0" collapsed="false">
      <c r="A92" s="11" t="s">
        <v>57</v>
      </c>
      <c r="B92" s="12" t="s">
        <v>35</v>
      </c>
      <c r="C92" s="11" t="s">
        <v>15</v>
      </c>
      <c r="D92" s="11" t="s">
        <v>16</v>
      </c>
      <c r="E92" s="13" t="n">
        <v>533</v>
      </c>
      <c r="F92" s="14" t="n">
        <v>0.04</v>
      </c>
      <c r="G92" s="14" t="n">
        <f aca="false">1-F92</f>
        <v>0.96</v>
      </c>
      <c r="H92" s="14" t="n">
        <v>1</v>
      </c>
      <c r="I92" s="15" t="s">
        <v>17</v>
      </c>
      <c r="J92" s="9" t="s">
        <v>18</v>
      </c>
      <c r="K92" s="16" t="s">
        <v>19</v>
      </c>
    </row>
    <row r="93" customFormat="false" ht="15" hidden="false" customHeight="false" outlineLevel="0" collapsed="false">
      <c r="A93" s="4" t="s">
        <v>57</v>
      </c>
      <c r="B93" s="5" t="s">
        <v>36</v>
      </c>
      <c r="C93" s="4" t="s">
        <v>15</v>
      </c>
      <c r="D93" s="4" t="s">
        <v>16</v>
      </c>
      <c r="E93" s="6" t="n">
        <v>432</v>
      </c>
      <c r="F93" s="7" t="n">
        <v>0.03</v>
      </c>
      <c r="G93" s="7" t="n">
        <f aca="false">1-F93</f>
        <v>0.97</v>
      </c>
      <c r="H93" s="7" t="n">
        <v>1</v>
      </c>
      <c r="I93" s="8" t="s">
        <v>17</v>
      </c>
      <c r="J93" s="9" t="s">
        <v>18</v>
      </c>
      <c r="K93" s="10" t="s">
        <v>19</v>
      </c>
    </row>
    <row r="94" customFormat="false" ht="15" hidden="false" customHeight="false" outlineLevel="0" collapsed="false">
      <c r="A94" s="11" t="s">
        <v>57</v>
      </c>
      <c r="B94" s="12" t="s">
        <v>49</v>
      </c>
      <c r="C94" s="11" t="s">
        <v>15</v>
      </c>
      <c r="D94" s="11" t="s">
        <v>16</v>
      </c>
      <c r="E94" s="13" t="n">
        <v>487</v>
      </c>
      <c r="F94" s="14" t="n">
        <v>0.03</v>
      </c>
      <c r="G94" s="14" t="n">
        <f aca="false">1-F94</f>
        <v>0.97</v>
      </c>
      <c r="H94" s="14" t="n">
        <v>0.99</v>
      </c>
      <c r="I94" s="15" t="s">
        <v>17</v>
      </c>
      <c r="J94" s="9" t="s">
        <v>18</v>
      </c>
      <c r="K94" s="16" t="s">
        <v>19</v>
      </c>
    </row>
    <row r="95" customFormat="false" ht="15" hidden="false" customHeight="false" outlineLevel="0" collapsed="false">
      <c r="A95" s="4" t="s">
        <v>57</v>
      </c>
      <c r="B95" s="5" t="s">
        <v>37</v>
      </c>
      <c r="C95" s="4" t="s">
        <v>15</v>
      </c>
      <c r="D95" s="4" t="s">
        <v>16</v>
      </c>
      <c r="E95" s="6" t="n">
        <v>441</v>
      </c>
      <c r="F95" s="7" t="n">
        <v>0.03</v>
      </c>
      <c r="G95" s="7" t="n">
        <f aca="false">1-F95</f>
        <v>0.97</v>
      </c>
      <c r="H95" s="7" t="n">
        <v>1</v>
      </c>
      <c r="I95" s="8" t="s">
        <v>17</v>
      </c>
      <c r="J95" s="9" t="s">
        <v>18</v>
      </c>
      <c r="K95" s="10" t="s">
        <v>19</v>
      </c>
    </row>
    <row r="96" customFormat="false" ht="15" hidden="false" customHeight="false" outlineLevel="0" collapsed="false">
      <c r="A96" s="11" t="s">
        <v>57</v>
      </c>
      <c r="B96" s="12" t="s">
        <v>38</v>
      </c>
      <c r="C96" s="11" t="s">
        <v>15</v>
      </c>
      <c r="D96" s="11" t="s">
        <v>16</v>
      </c>
      <c r="E96" s="13" t="n">
        <v>26.7</v>
      </c>
      <c r="F96" s="14" t="n">
        <v>0</v>
      </c>
      <c r="G96" s="14" t="n">
        <f aca="false">1-F96</f>
        <v>1</v>
      </c>
      <c r="H96" s="14" t="n">
        <v>1</v>
      </c>
      <c r="I96" s="15" t="s">
        <v>17</v>
      </c>
      <c r="J96" s="9" t="s">
        <v>18</v>
      </c>
      <c r="K96" s="16" t="s">
        <v>19</v>
      </c>
    </row>
    <row r="97" customFormat="false" ht="15" hidden="false" customHeight="false" outlineLevel="0" collapsed="false">
      <c r="A97" s="4" t="s">
        <v>57</v>
      </c>
      <c r="B97" s="5" t="s">
        <v>39</v>
      </c>
      <c r="C97" s="4" t="s">
        <v>15</v>
      </c>
      <c r="D97" s="4" t="s">
        <v>16</v>
      </c>
      <c r="E97" s="6" t="n">
        <v>440</v>
      </c>
      <c r="F97" s="7" t="n">
        <v>0.03</v>
      </c>
      <c r="G97" s="7" t="n">
        <f aca="false">1-F97</f>
        <v>0.97</v>
      </c>
      <c r="H97" s="7" t="n">
        <v>0.99</v>
      </c>
      <c r="I97" s="8" t="s">
        <v>17</v>
      </c>
      <c r="J97" s="9" t="s">
        <v>18</v>
      </c>
      <c r="K97" s="10" t="s">
        <v>19</v>
      </c>
    </row>
    <row r="98" customFormat="false" ht="15" hidden="false" customHeight="false" outlineLevel="0" collapsed="false">
      <c r="A98" s="11" t="s">
        <v>57</v>
      </c>
      <c r="B98" s="12" t="s">
        <v>40</v>
      </c>
      <c r="C98" s="11" t="s">
        <v>15</v>
      </c>
      <c r="D98" s="11" t="s">
        <v>16</v>
      </c>
      <c r="E98" s="13" t="n">
        <v>455</v>
      </c>
      <c r="F98" s="14" t="n">
        <v>0.03</v>
      </c>
      <c r="G98" s="14" t="n">
        <f aca="false">1-F98</f>
        <v>0.97</v>
      </c>
      <c r="H98" s="14" t="n">
        <v>0.99</v>
      </c>
      <c r="I98" s="15" t="s">
        <v>17</v>
      </c>
      <c r="J98" s="9" t="s">
        <v>18</v>
      </c>
      <c r="K98" s="16" t="s">
        <v>19</v>
      </c>
    </row>
    <row r="99" customFormat="false" ht="15" hidden="false" customHeight="false" outlineLevel="0" collapsed="false">
      <c r="A99" s="4" t="s">
        <v>57</v>
      </c>
      <c r="B99" s="5" t="s">
        <v>41</v>
      </c>
      <c r="C99" s="4" t="s">
        <v>15</v>
      </c>
      <c r="D99" s="4" t="s">
        <v>16</v>
      </c>
      <c r="E99" s="6" t="n">
        <v>433</v>
      </c>
      <c r="F99" s="7" t="n">
        <v>0.03</v>
      </c>
      <c r="G99" s="7" t="n">
        <f aca="false">1-F99</f>
        <v>0.97</v>
      </c>
      <c r="H99" s="7" t="n">
        <v>1</v>
      </c>
      <c r="I99" s="8" t="s">
        <v>17</v>
      </c>
      <c r="J99" s="9" t="s">
        <v>18</v>
      </c>
      <c r="K99" s="10" t="s">
        <v>19</v>
      </c>
    </row>
    <row r="100" customFormat="false" ht="15" hidden="false" customHeight="false" outlineLevel="0" collapsed="false">
      <c r="A100" s="11" t="s">
        <v>58</v>
      </c>
      <c r="B100" s="12" t="s">
        <v>14</v>
      </c>
      <c r="C100" s="11" t="s">
        <v>15</v>
      </c>
      <c r="D100" s="11" t="s">
        <v>16</v>
      </c>
      <c r="E100" s="13" t="n">
        <v>554</v>
      </c>
      <c r="F100" s="14" t="n">
        <v>0.04</v>
      </c>
      <c r="G100" s="14" t="n">
        <f aca="false">1-F100</f>
        <v>0.96</v>
      </c>
      <c r="H100" s="14" t="n">
        <v>0.99</v>
      </c>
      <c r="I100" s="15" t="s">
        <v>17</v>
      </c>
      <c r="J100" s="9" t="s">
        <v>18</v>
      </c>
      <c r="K100" s="16" t="s">
        <v>19</v>
      </c>
    </row>
    <row r="101" customFormat="false" ht="15" hidden="false" customHeight="false" outlineLevel="0" collapsed="false">
      <c r="A101" s="4" t="s">
        <v>58</v>
      </c>
      <c r="B101" s="5" t="s">
        <v>20</v>
      </c>
      <c r="C101" s="4" t="s">
        <v>15</v>
      </c>
      <c r="D101" s="4" t="s">
        <v>16</v>
      </c>
      <c r="E101" s="6" t="n">
        <v>438</v>
      </c>
      <c r="F101" s="7" t="n">
        <v>0.03</v>
      </c>
      <c r="G101" s="7" t="n">
        <f aca="false">1-F101</f>
        <v>0.97</v>
      </c>
      <c r="H101" s="7" t="n">
        <v>0.99</v>
      </c>
      <c r="I101" s="8" t="s">
        <v>17</v>
      </c>
      <c r="J101" s="9" t="s">
        <v>18</v>
      </c>
      <c r="K101" s="10" t="s">
        <v>19</v>
      </c>
    </row>
    <row r="102" customFormat="false" ht="15" hidden="false" customHeight="false" outlineLevel="0" collapsed="false">
      <c r="A102" s="11" t="s">
        <v>58</v>
      </c>
      <c r="B102" s="12" t="s">
        <v>21</v>
      </c>
      <c r="C102" s="11" t="s">
        <v>15</v>
      </c>
      <c r="D102" s="11" t="s">
        <v>16</v>
      </c>
      <c r="E102" s="13" t="n">
        <v>421</v>
      </c>
      <c r="F102" s="14" t="n">
        <v>0.03</v>
      </c>
      <c r="G102" s="14" t="n">
        <f aca="false">1-F102</f>
        <v>0.97</v>
      </c>
      <c r="H102" s="14" t="n">
        <v>1</v>
      </c>
      <c r="I102" s="15" t="s">
        <v>17</v>
      </c>
      <c r="J102" s="9" t="s">
        <v>18</v>
      </c>
      <c r="K102" s="16" t="s">
        <v>19</v>
      </c>
    </row>
    <row r="103" customFormat="false" ht="15" hidden="false" customHeight="false" outlineLevel="0" collapsed="false">
      <c r="A103" s="4" t="s">
        <v>58</v>
      </c>
      <c r="B103" s="5" t="s">
        <v>22</v>
      </c>
      <c r="C103" s="4" t="s">
        <v>15</v>
      </c>
      <c r="D103" s="4" t="s">
        <v>16</v>
      </c>
      <c r="E103" s="6" t="n">
        <v>487</v>
      </c>
      <c r="F103" s="7" t="n">
        <v>0.04</v>
      </c>
      <c r="G103" s="7" t="n">
        <f aca="false">1-F103</f>
        <v>0.96</v>
      </c>
      <c r="H103" s="7" t="n">
        <v>1</v>
      </c>
      <c r="I103" s="8" t="s">
        <v>17</v>
      </c>
      <c r="J103" s="9" t="s">
        <v>18</v>
      </c>
      <c r="K103" s="10" t="s">
        <v>19</v>
      </c>
    </row>
    <row r="104" customFormat="false" ht="15" hidden="false" customHeight="false" outlineLevel="0" collapsed="false">
      <c r="A104" s="11" t="s">
        <v>58</v>
      </c>
      <c r="B104" s="12" t="s">
        <v>23</v>
      </c>
      <c r="C104" s="11" t="s">
        <v>15</v>
      </c>
      <c r="D104" s="11" t="s">
        <v>16</v>
      </c>
      <c r="E104" s="13" t="n">
        <v>488</v>
      </c>
      <c r="F104" s="14" t="n">
        <v>0.04</v>
      </c>
      <c r="G104" s="14" t="n">
        <f aca="false">1-F104</f>
        <v>0.96</v>
      </c>
      <c r="H104" s="14" t="n">
        <v>1</v>
      </c>
      <c r="I104" s="15" t="s">
        <v>17</v>
      </c>
      <c r="J104" s="9" t="s">
        <v>18</v>
      </c>
      <c r="K104" s="16" t="s">
        <v>19</v>
      </c>
    </row>
    <row r="105" customFormat="false" ht="15" hidden="false" customHeight="false" outlineLevel="0" collapsed="false">
      <c r="A105" s="4" t="s">
        <v>58</v>
      </c>
      <c r="B105" s="5" t="s">
        <v>24</v>
      </c>
      <c r="C105" s="4" t="s">
        <v>15</v>
      </c>
      <c r="D105" s="4" t="s">
        <v>16</v>
      </c>
      <c r="E105" s="6" t="n">
        <v>421</v>
      </c>
      <c r="F105" s="7" t="n">
        <v>0.03</v>
      </c>
      <c r="G105" s="7" t="n">
        <f aca="false">1-F105</f>
        <v>0.97</v>
      </c>
      <c r="H105" s="7" t="n">
        <v>1</v>
      </c>
      <c r="I105" s="8" t="s">
        <v>17</v>
      </c>
      <c r="J105" s="9" t="s">
        <v>18</v>
      </c>
      <c r="K105" s="10" t="s">
        <v>19</v>
      </c>
    </row>
    <row r="106" customFormat="false" ht="15" hidden="false" customHeight="false" outlineLevel="0" collapsed="false">
      <c r="A106" s="11" t="s">
        <v>58</v>
      </c>
      <c r="B106" s="12" t="s">
        <v>25</v>
      </c>
      <c r="C106" s="11" t="s">
        <v>15</v>
      </c>
      <c r="D106" s="11" t="s">
        <v>16</v>
      </c>
      <c r="E106" s="13" t="n">
        <v>468</v>
      </c>
      <c r="F106" s="14" t="n">
        <v>0.04</v>
      </c>
      <c r="G106" s="14" t="n">
        <f aca="false">1-F106</f>
        <v>0.96</v>
      </c>
      <c r="H106" s="14" t="n">
        <v>1</v>
      </c>
      <c r="I106" s="15" t="s">
        <v>17</v>
      </c>
      <c r="J106" s="9" t="s">
        <v>18</v>
      </c>
      <c r="K106" s="16" t="s">
        <v>19</v>
      </c>
    </row>
    <row r="107" customFormat="false" ht="15" hidden="false" customHeight="false" outlineLevel="0" collapsed="false">
      <c r="A107" s="4" t="s">
        <v>58</v>
      </c>
      <c r="B107" s="5" t="s">
        <v>26</v>
      </c>
      <c r="C107" s="4" t="s">
        <v>15</v>
      </c>
      <c r="D107" s="4" t="s">
        <v>16</v>
      </c>
      <c r="E107" s="6" t="n">
        <v>421</v>
      </c>
      <c r="F107" s="7" t="n">
        <v>0.03</v>
      </c>
      <c r="G107" s="7" t="n">
        <f aca="false">1-F107</f>
        <v>0.97</v>
      </c>
      <c r="H107" s="7" t="n">
        <v>0.99</v>
      </c>
      <c r="I107" s="8" t="s">
        <v>17</v>
      </c>
      <c r="J107" s="9" t="s">
        <v>18</v>
      </c>
      <c r="K107" s="10" t="s">
        <v>19</v>
      </c>
    </row>
    <row r="108" customFormat="false" ht="15" hidden="false" customHeight="false" outlineLevel="0" collapsed="false">
      <c r="A108" s="11" t="s">
        <v>58</v>
      </c>
      <c r="B108" s="12" t="s">
        <v>27</v>
      </c>
      <c r="C108" s="11" t="s">
        <v>15</v>
      </c>
      <c r="D108" s="11" t="s">
        <v>16</v>
      </c>
      <c r="E108" s="13" t="n">
        <v>194</v>
      </c>
      <c r="F108" s="14" t="n">
        <v>0.01</v>
      </c>
      <c r="G108" s="14" t="n">
        <f aca="false">1-F108</f>
        <v>0.99</v>
      </c>
      <c r="H108" s="14" t="n">
        <v>1</v>
      </c>
      <c r="I108" s="15" t="s">
        <v>17</v>
      </c>
      <c r="J108" s="9" t="s">
        <v>18</v>
      </c>
      <c r="K108" s="16" t="s">
        <v>19</v>
      </c>
    </row>
    <row r="109" customFormat="false" ht="15" hidden="false" customHeight="false" outlineLevel="0" collapsed="false">
      <c r="A109" s="4" t="s">
        <v>58</v>
      </c>
      <c r="B109" s="5" t="s">
        <v>28</v>
      </c>
      <c r="C109" s="4" t="s">
        <v>15</v>
      </c>
      <c r="D109" s="4" t="s">
        <v>16</v>
      </c>
      <c r="E109" s="6" t="n">
        <v>420</v>
      </c>
      <c r="F109" s="7" t="n">
        <v>0.03</v>
      </c>
      <c r="G109" s="7" t="n">
        <f aca="false">1-F109</f>
        <v>0.97</v>
      </c>
      <c r="H109" s="7" t="n">
        <v>1</v>
      </c>
      <c r="I109" s="8" t="s">
        <v>17</v>
      </c>
      <c r="J109" s="9" t="s">
        <v>18</v>
      </c>
      <c r="K109" s="10" t="s">
        <v>19</v>
      </c>
    </row>
    <row r="110" customFormat="false" ht="15" hidden="false" customHeight="false" outlineLevel="0" collapsed="false">
      <c r="A110" s="11" t="s">
        <v>58</v>
      </c>
      <c r="B110" s="12" t="s">
        <v>29</v>
      </c>
      <c r="C110" s="11" t="s">
        <v>15</v>
      </c>
      <c r="D110" s="11" t="s">
        <v>16</v>
      </c>
      <c r="E110" s="13" t="n">
        <v>445</v>
      </c>
      <c r="F110" s="14" t="n">
        <v>0.03</v>
      </c>
      <c r="G110" s="14" t="n">
        <f aca="false">1-F110</f>
        <v>0.97</v>
      </c>
      <c r="H110" s="14" t="n">
        <v>0.99</v>
      </c>
      <c r="I110" s="15" t="s">
        <v>17</v>
      </c>
      <c r="J110" s="9" t="s">
        <v>18</v>
      </c>
      <c r="K110" s="16" t="s">
        <v>19</v>
      </c>
    </row>
    <row r="111" customFormat="false" ht="15" hidden="false" customHeight="false" outlineLevel="0" collapsed="false">
      <c r="A111" s="4" t="s">
        <v>58</v>
      </c>
      <c r="B111" s="5" t="s">
        <v>30</v>
      </c>
      <c r="C111" s="4" t="s">
        <v>15</v>
      </c>
      <c r="D111" s="4" t="s">
        <v>16</v>
      </c>
      <c r="E111" s="6" t="n">
        <v>461</v>
      </c>
      <c r="F111" s="7" t="n">
        <v>0.03</v>
      </c>
      <c r="G111" s="7" t="n">
        <f aca="false">1-F111</f>
        <v>0.97</v>
      </c>
      <c r="H111" s="7" t="n">
        <v>0.99</v>
      </c>
      <c r="I111" s="8" t="s">
        <v>17</v>
      </c>
      <c r="J111" s="9" t="s">
        <v>18</v>
      </c>
      <c r="K111" s="10" t="s">
        <v>19</v>
      </c>
    </row>
    <row r="112" customFormat="false" ht="15" hidden="false" customHeight="false" outlineLevel="0" collapsed="false">
      <c r="A112" s="11" t="s">
        <v>58</v>
      </c>
      <c r="B112" s="12" t="s">
        <v>31</v>
      </c>
      <c r="C112" s="11" t="s">
        <v>15</v>
      </c>
      <c r="D112" s="11" t="s">
        <v>16</v>
      </c>
      <c r="E112" s="13" t="n">
        <v>489</v>
      </c>
      <c r="F112" s="14" t="n">
        <v>0.04</v>
      </c>
      <c r="G112" s="14" t="n">
        <f aca="false">1-F112</f>
        <v>0.96</v>
      </c>
      <c r="H112" s="14" t="n">
        <v>1</v>
      </c>
      <c r="I112" s="15" t="s">
        <v>17</v>
      </c>
      <c r="J112" s="9" t="s">
        <v>18</v>
      </c>
      <c r="K112" s="16" t="s">
        <v>19</v>
      </c>
    </row>
    <row r="113" customFormat="false" ht="15" hidden="false" customHeight="false" outlineLevel="0" collapsed="false">
      <c r="A113" s="4" t="s">
        <v>58</v>
      </c>
      <c r="B113" s="5" t="s">
        <v>32</v>
      </c>
      <c r="C113" s="4" t="s">
        <v>15</v>
      </c>
      <c r="D113" s="4" t="s">
        <v>16</v>
      </c>
      <c r="E113" s="6" t="n">
        <v>211</v>
      </c>
      <c r="F113" s="7" t="n">
        <v>0.01</v>
      </c>
      <c r="G113" s="7" t="n">
        <f aca="false">1-F113</f>
        <v>0.99</v>
      </c>
      <c r="H113" s="7" t="n">
        <v>1</v>
      </c>
      <c r="I113" s="8" t="s">
        <v>17</v>
      </c>
      <c r="J113" s="9" t="s">
        <v>18</v>
      </c>
      <c r="K113" s="10" t="s">
        <v>19</v>
      </c>
    </row>
    <row r="114" customFormat="false" ht="15" hidden="false" customHeight="false" outlineLevel="0" collapsed="false">
      <c r="A114" s="11" t="s">
        <v>58</v>
      </c>
      <c r="B114" s="12" t="s">
        <v>33</v>
      </c>
      <c r="C114" s="11" t="s">
        <v>15</v>
      </c>
      <c r="D114" s="11" t="s">
        <v>16</v>
      </c>
      <c r="E114" s="13" t="n">
        <v>338</v>
      </c>
      <c r="F114" s="14" t="n">
        <v>0.01</v>
      </c>
      <c r="G114" s="14" t="n">
        <f aca="false">1-F114</f>
        <v>0.99</v>
      </c>
      <c r="H114" s="14" t="n">
        <v>1</v>
      </c>
      <c r="I114" s="15" t="s">
        <v>17</v>
      </c>
      <c r="J114" s="9" t="s">
        <v>18</v>
      </c>
      <c r="K114" s="16" t="s">
        <v>19</v>
      </c>
    </row>
    <row r="115" customFormat="false" ht="15" hidden="false" customHeight="false" outlineLevel="0" collapsed="false">
      <c r="A115" s="4" t="s">
        <v>58</v>
      </c>
      <c r="B115" s="5" t="s">
        <v>34</v>
      </c>
      <c r="C115" s="4" t="s">
        <v>15</v>
      </c>
      <c r="D115" s="4" t="s">
        <v>16</v>
      </c>
      <c r="E115" s="6" t="n">
        <v>424</v>
      </c>
      <c r="F115" s="7" t="n">
        <v>0.03</v>
      </c>
      <c r="G115" s="7" t="n">
        <f aca="false">1-F115</f>
        <v>0.97</v>
      </c>
      <c r="H115" s="7" t="n">
        <v>0.99</v>
      </c>
      <c r="I115" s="8" t="s">
        <v>17</v>
      </c>
      <c r="J115" s="9" t="s">
        <v>18</v>
      </c>
      <c r="K115" s="10" t="s">
        <v>19</v>
      </c>
    </row>
    <row r="116" customFormat="false" ht="15" hidden="false" customHeight="false" outlineLevel="0" collapsed="false">
      <c r="A116" s="11" t="s">
        <v>58</v>
      </c>
      <c r="B116" s="12" t="s">
        <v>35</v>
      </c>
      <c r="C116" s="11" t="s">
        <v>15</v>
      </c>
      <c r="D116" s="11" t="s">
        <v>16</v>
      </c>
      <c r="E116" s="13" t="n">
        <v>217</v>
      </c>
      <c r="F116" s="14" t="n">
        <v>0.01</v>
      </c>
      <c r="G116" s="14" t="n">
        <f aca="false">1-F116</f>
        <v>0.99</v>
      </c>
      <c r="H116" s="14" t="n">
        <v>1</v>
      </c>
      <c r="I116" s="15" t="s">
        <v>17</v>
      </c>
      <c r="J116" s="9" t="s">
        <v>18</v>
      </c>
      <c r="K116" s="16" t="s">
        <v>19</v>
      </c>
    </row>
    <row r="117" customFormat="false" ht="15" hidden="false" customHeight="false" outlineLevel="0" collapsed="false">
      <c r="A117" s="4" t="s">
        <v>58</v>
      </c>
      <c r="B117" s="5" t="s">
        <v>36</v>
      </c>
      <c r="C117" s="4" t="s">
        <v>15</v>
      </c>
      <c r="D117" s="4" t="s">
        <v>16</v>
      </c>
      <c r="E117" s="6" t="n">
        <v>443</v>
      </c>
      <c r="F117" s="7" t="n">
        <v>0.03</v>
      </c>
      <c r="G117" s="7" t="n">
        <f aca="false">1-F117</f>
        <v>0.97</v>
      </c>
      <c r="H117" s="7" t="n">
        <v>1</v>
      </c>
      <c r="I117" s="8" t="s">
        <v>17</v>
      </c>
      <c r="J117" s="9" t="s">
        <v>18</v>
      </c>
      <c r="K117" s="10" t="s">
        <v>19</v>
      </c>
    </row>
    <row r="118" customFormat="false" ht="15" hidden="false" customHeight="false" outlineLevel="0" collapsed="false">
      <c r="A118" s="11" t="s">
        <v>58</v>
      </c>
      <c r="B118" s="12" t="s">
        <v>49</v>
      </c>
      <c r="C118" s="11" t="s">
        <v>15</v>
      </c>
      <c r="D118" s="11" t="s">
        <v>16</v>
      </c>
      <c r="E118" s="13" t="n">
        <v>475</v>
      </c>
      <c r="F118" s="14" t="n">
        <v>0.04</v>
      </c>
      <c r="G118" s="14" t="n">
        <f aca="false">1-F118</f>
        <v>0.96</v>
      </c>
      <c r="H118" s="14" t="n">
        <v>1</v>
      </c>
      <c r="I118" s="15" t="s">
        <v>17</v>
      </c>
      <c r="J118" s="9" t="s">
        <v>18</v>
      </c>
      <c r="K118" s="16" t="s">
        <v>19</v>
      </c>
    </row>
    <row r="119" customFormat="false" ht="15" hidden="false" customHeight="false" outlineLevel="0" collapsed="false">
      <c r="A119" s="4" t="s">
        <v>58</v>
      </c>
      <c r="B119" s="5" t="s">
        <v>37</v>
      </c>
      <c r="C119" s="4" t="s">
        <v>15</v>
      </c>
      <c r="D119" s="4" t="s">
        <v>16</v>
      </c>
      <c r="E119" s="6" t="n">
        <v>193</v>
      </c>
      <c r="F119" s="7" t="n">
        <v>0.01</v>
      </c>
      <c r="G119" s="7" t="n">
        <f aca="false">1-F119</f>
        <v>0.99</v>
      </c>
      <c r="H119" s="7" t="n">
        <v>1</v>
      </c>
      <c r="I119" s="8" t="s">
        <v>17</v>
      </c>
      <c r="J119" s="9" t="s">
        <v>18</v>
      </c>
      <c r="K119" s="10" t="s">
        <v>19</v>
      </c>
    </row>
    <row r="120" customFormat="false" ht="15" hidden="false" customHeight="false" outlineLevel="0" collapsed="false">
      <c r="A120" s="11" t="s">
        <v>58</v>
      </c>
      <c r="B120" s="12" t="s">
        <v>38</v>
      </c>
      <c r="C120" s="11" t="s">
        <v>15</v>
      </c>
      <c r="D120" s="11" t="s">
        <v>16</v>
      </c>
      <c r="E120" s="13" t="n">
        <v>283</v>
      </c>
      <c r="F120" s="14" t="n">
        <v>0.03</v>
      </c>
      <c r="G120" s="14" t="n">
        <f aca="false">1-F120</f>
        <v>0.97</v>
      </c>
      <c r="H120" s="14" t="n">
        <v>1</v>
      </c>
      <c r="I120" s="15" t="s">
        <v>17</v>
      </c>
      <c r="J120" s="9" t="s">
        <v>18</v>
      </c>
      <c r="K120" s="16" t="s">
        <v>19</v>
      </c>
    </row>
    <row r="121" customFormat="false" ht="15" hidden="false" customHeight="false" outlineLevel="0" collapsed="false">
      <c r="A121" s="4" t="s">
        <v>58</v>
      </c>
      <c r="B121" s="5" t="s">
        <v>39</v>
      </c>
      <c r="C121" s="4" t="s">
        <v>15</v>
      </c>
      <c r="D121" s="4" t="s">
        <v>16</v>
      </c>
      <c r="E121" s="6" t="n">
        <v>486</v>
      </c>
      <c r="F121" s="7" t="n">
        <v>0.04</v>
      </c>
      <c r="G121" s="7" t="n">
        <f aca="false">1-F121</f>
        <v>0.96</v>
      </c>
      <c r="H121" s="7" t="n">
        <v>0.99</v>
      </c>
      <c r="I121" s="8" t="s">
        <v>17</v>
      </c>
      <c r="J121" s="9" t="s">
        <v>18</v>
      </c>
      <c r="K121" s="10" t="s">
        <v>19</v>
      </c>
    </row>
    <row r="122" customFormat="false" ht="15" hidden="false" customHeight="false" outlineLevel="0" collapsed="false">
      <c r="A122" s="11" t="s">
        <v>58</v>
      </c>
      <c r="B122" s="12" t="s">
        <v>40</v>
      </c>
      <c r="C122" s="11" t="s">
        <v>15</v>
      </c>
      <c r="D122" s="11" t="s">
        <v>16</v>
      </c>
      <c r="E122" s="13" t="n">
        <v>186</v>
      </c>
      <c r="F122" s="14" t="n">
        <v>0.01</v>
      </c>
      <c r="G122" s="14" t="n">
        <f aca="false">1-F122</f>
        <v>0.99</v>
      </c>
      <c r="H122" s="14" t="n">
        <v>1</v>
      </c>
      <c r="I122" s="15" t="s">
        <v>17</v>
      </c>
      <c r="J122" s="9" t="s">
        <v>18</v>
      </c>
      <c r="K122" s="16" t="s">
        <v>19</v>
      </c>
    </row>
    <row r="123" customFormat="false" ht="15" hidden="false" customHeight="false" outlineLevel="0" collapsed="false">
      <c r="A123" s="4" t="s">
        <v>58</v>
      </c>
      <c r="B123" s="5" t="s">
        <v>41</v>
      </c>
      <c r="C123" s="4" t="s">
        <v>15</v>
      </c>
      <c r="D123" s="4" t="s">
        <v>16</v>
      </c>
      <c r="E123" s="6" t="n">
        <v>488</v>
      </c>
      <c r="F123" s="7" t="n">
        <v>0.04</v>
      </c>
      <c r="G123" s="7" t="n">
        <f aca="false">1-F123</f>
        <v>0.96</v>
      </c>
      <c r="H123" s="7" t="n">
        <v>1</v>
      </c>
      <c r="I123" s="8" t="s">
        <v>17</v>
      </c>
      <c r="J123" s="9" t="s">
        <v>18</v>
      </c>
      <c r="K123" s="10" t="s">
        <v>19</v>
      </c>
    </row>
    <row r="124" customFormat="false" ht="15" hidden="false" customHeight="false" outlineLevel="0" collapsed="false">
      <c r="A124" s="11" t="s">
        <v>59</v>
      </c>
      <c r="B124" s="12" t="s">
        <v>14</v>
      </c>
      <c r="C124" s="11" t="s">
        <v>15</v>
      </c>
      <c r="D124" s="11" t="s">
        <v>16</v>
      </c>
      <c r="E124" s="13" t="n">
        <v>244</v>
      </c>
      <c r="F124" s="14" t="n">
        <v>0</v>
      </c>
      <c r="G124" s="14" t="n">
        <f aca="false">1-F124</f>
        <v>1</v>
      </c>
      <c r="H124" s="14" t="n">
        <v>0.99</v>
      </c>
      <c r="I124" s="15" t="s">
        <v>17</v>
      </c>
      <c r="J124" s="9" t="s">
        <v>18</v>
      </c>
      <c r="K124" s="16" t="s">
        <v>19</v>
      </c>
    </row>
    <row r="125" customFormat="false" ht="15" hidden="false" customHeight="false" outlineLevel="0" collapsed="false">
      <c r="A125" s="4" t="s">
        <v>59</v>
      </c>
      <c r="B125" s="5" t="s">
        <v>20</v>
      </c>
      <c r="C125" s="4" t="s">
        <v>15</v>
      </c>
      <c r="D125" s="4" t="s">
        <v>16</v>
      </c>
      <c r="E125" s="6" t="n">
        <v>204</v>
      </c>
      <c r="F125" s="7" t="n">
        <v>0</v>
      </c>
      <c r="G125" s="7" t="n">
        <f aca="false">1-F125</f>
        <v>1</v>
      </c>
      <c r="H125" s="7" t="n">
        <v>1</v>
      </c>
      <c r="I125" s="8" t="s">
        <v>17</v>
      </c>
      <c r="J125" s="9" t="s">
        <v>18</v>
      </c>
      <c r="K125" s="10" t="s">
        <v>19</v>
      </c>
    </row>
    <row r="126" customFormat="false" ht="15" hidden="false" customHeight="false" outlineLevel="0" collapsed="false">
      <c r="A126" s="11" t="s">
        <v>59</v>
      </c>
      <c r="B126" s="12" t="s">
        <v>21</v>
      </c>
      <c r="C126" s="11" t="s">
        <v>15</v>
      </c>
      <c r="D126" s="11" t="s">
        <v>16</v>
      </c>
      <c r="E126" s="13" t="n">
        <v>202</v>
      </c>
      <c r="F126" s="14" t="n">
        <v>0</v>
      </c>
      <c r="G126" s="14" t="n">
        <f aca="false">1-F126</f>
        <v>1</v>
      </c>
      <c r="H126" s="14" t="n">
        <v>1</v>
      </c>
      <c r="I126" s="15" t="s">
        <v>17</v>
      </c>
      <c r="J126" s="9" t="s">
        <v>18</v>
      </c>
      <c r="K126" s="16" t="s">
        <v>19</v>
      </c>
    </row>
    <row r="127" customFormat="false" ht="15" hidden="false" customHeight="false" outlineLevel="0" collapsed="false">
      <c r="A127" s="4" t="s">
        <v>59</v>
      </c>
      <c r="B127" s="5" t="s">
        <v>22</v>
      </c>
      <c r="C127" s="4" t="s">
        <v>15</v>
      </c>
      <c r="D127" s="4" t="s">
        <v>16</v>
      </c>
      <c r="E127" s="6" t="n">
        <v>230</v>
      </c>
      <c r="F127" s="7" t="n">
        <v>0</v>
      </c>
      <c r="G127" s="7" t="n">
        <f aca="false">1-F127</f>
        <v>1</v>
      </c>
      <c r="H127" s="7" t="n">
        <v>1</v>
      </c>
      <c r="I127" s="8" t="s">
        <v>17</v>
      </c>
      <c r="J127" s="9" t="s">
        <v>18</v>
      </c>
      <c r="K127" s="10" t="s">
        <v>19</v>
      </c>
    </row>
    <row r="128" customFormat="false" ht="15" hidden="false" customHeight="false" outlineLevel="0" collapsed="false">
      <c r="A128" s="11" t="s">
        <v>59</v>
      </c>
      <c r="B128" s="12" t="s">
        <v>23</v>
      </c>
      <c r="C128" s="11" t="s">
        <v>15</v>
      </c>
      <c r="D128" s="11" t="s">
        <v>16</v>
      </c>
      <c r="E128" s="13" t="n">
        <v>211</v>
      </c>
      <c r="F128" s="14" t="n">
        <v>0.01</v>
      </c>
      <c r="G128" s="14" t="n">
        <f aca="false">1-F128</f>
        <v>0.99</v>
      </c>
      <c r="H128" s="14" t="n">
        <v>0.99</v>
      </c>
      <c r="I128" s="15" t="s">
        <v>17</v>
      </c>
      <c r="J128" s="9" t="s">
        <v>18</v>
      </c>
      <c r="K128" s="16" t="s">
        <v>19</v>
      </c>
    </row>
    <row r="129" customFormat="false" ht="15" hidden="false" customHeight="false" outlineLevel="0" collapsed="false">
      <c r="A129" s="4" t="s">
        <v>59</v>
      </c>
      <c r="B129" s="5" t="s">
        <v>24</v>
      </c>
      <c r="C129" s="4" t="s">
        <v>15</v>
      </c>
      <c r="D129" s="4" t="s">
        <v>16</v>
      </c>
      <c r="E129" s="6" t="n">
        <v>193</v>
      </c>
      <c r="F129" s="7" t="n">
        <v>0</v>
      </c>
      <c r="G129" s="7" t="n">
        <f aca="false">1-F129</f>
        <v>1</v>
      </c>
      <c r="H129" s="7" t="n">
        <v>1</v>
      </c>
      <c r="I129" s="8" t="s">
        <v>17</v>
      </c>
      <c r="J129" s="9" t="s">
        <v>18</v>
      </c>
      <c r="K129" s="10" t="s">
        <v>19</v>
      </c>
    </row>
    <row r="130" customFormat="false" ht="15" hidden="false" customHeight="false" outlineLevel="0" collapsed="false">
      <c r="A130" s="11" t="s">
        <v>59</v>
      </c>
      <c r="B130" s="12" t="s">
        <v>25</v>
      </c>
      <c r="C130" s="11" t="s">
        <v>15</v>
      </c>
      <c r="D130" s="11" t="s">
        <v>16</v>
      </c>
      <c r="E130" s="13" t="n">
        <v>250</v>
      </c>
      <c r="F130" s="14" t="n">
        <v>0</v>
      </c>
      <c r="G130" s="14" t="n">
        <f aca="false">1-F130</f>
        <v>1</v>
      </c>
      <c r="H130" s="14" t="n">
        <v>0.99</v>
      </c>
      <c r="I130" s="15" t="s">
        <v>17</v>
      </c>
      <c r="J130" s="9" t="s">
        <v>18</v>
      </c>
      <c r="K130" s="16" t="s">
        <v>19</v>
      </c>
    </row>
    <row r="131" customFormat="false" ht="15" hidden="false" customHeight="false" outlineLevel="0" collapsed="false">
      <c r="A131" s="4" t="s">
        <v>59</v>
      </c>
      <c r="B131" s="5" t="s">
        <v>26</v>
      </c>
      <c r="C131" s="4" t="s">
        <v>15</v>
      </c>
      <c r="D131" s="4" t="s">
        <v>16</v>
      </c>
      <c r="E131" s="6" t="n">
        <v>227</v>
      </c>
      <c r="F131" s="7" t="n">
        <v>0</v>
      </c>
      <c r="G131" s="7" t="n">
        <f aca="false">1-F131</f>
        <v>1</v>
      </c>
      <c r="H131" s="7" t="n">
        <v>0.99</v>
      </c>
      <c r="I131" s="8" t="s">
        <v>17</v>
      </c>
      <c r="J131" s="9" t="s">
        <v>18</v>
      </c>
      <c r="K131" s="10" t="s">
        <v>19</v>
      </c>
    </row>
    <row r="132" customFormat="false" ht="15" hidden="false" customHeight="false" outlineLevel="0" collapsed="false">
      <c r="A132" s="11" t="s">
        <v>59</v>
      </c>
      <c r="B132" s="12" t="s">
        <v>27</v>
      </c>
      <c r="C132" s="11" t="s">
        <v>15</v>
      </c>
      <c r="D132" s="11" t="s">
        <v>16</v>
      </c>
      <c r="E132" s="13" t="n">
        <v>246</v>
      </c>
      <c r="F132" s="14" t="n">
        <v>0</v>
      </c>
      <c r="G132" s="14" t="n">
        <f aca="false">1-F132</f>
        <v>1</v>
      </c>
      <c r="H132" s="14" t="n">
        <v>0.99</v>
      </c>
      <c r="I132" s="15" t="s">
        <v>17</v>
      </c>
      <c r="J132" s="9" t="s">
        <v>18</v>
      </c>
      <c r="K132" s="16" t="s">
        <v>19</v>
      </c>
    </row>
    <row r="133" customFormat="false" ht="15" hidden="false" customHeight="false" outlineLevel="0" collapsed="false">
      <c r="A133" s="4" t="s">
        <v>59</v>
      </c>
      <c r="B133" s="5" t="s">
        <v>28</v>
      </c>
      <c r="C133" s="4" t="s">
        <v>15</v>
      </c>
      <c r="D133" s="4" t="s">
        <v>16</v>
      </c>
      <c r="E133" s="6" t="n">
        <v>166</v>
      </c>
      <c r="F133" s="7" t="n">
        <v>0</v>
      </c>
      <c r="G133" s="7" t="n">
        <f aca="false">1-F133</f>
        <v>1</v>
      </c>
      <c r="H133" s="7" t="n">
        <v>1</v>
      </c>
      <c r="I133" s="8" t="s">
        <v>17</v>
      </c>
      <c r="J133" s="9" t="s">
        <v>18</v>
      </c>
      <c r="K133" s="10" t="s">
        <v>19</v>
      </c>
    </row>
    <row r="134" customFormat="false" ht="15" hidden="false" customHeight="false" outlineLevel="0" collapsed="false">
      <c r="A134" s="11" t="s">
        <v>59</v>
      </c>
      <c r="B134" s="12" t="s">
        <v>29</v>
      </c>
      <c r="C134" s="11" t="s">
        <v>15</v>
      </c>
      <c r="D134" s="11" t="s">
        <v>16</v>
      </c>
      <c r="E134" s="13" t="n">
        <v>193</v>
      </c>
      <c r="F134" s="14" t="n">
        <v>0</v>
      </c>
      <c r="G134" s="14" t="n">
        <f aca="false">1-F134</f>
        <v>1</v>
      </c>
      <c r="H134" s="14" t="n">
        <v>1</v>
      </c>
      <c r="I134" s="15" t="s">
        <v>17</v>
      </c>
      <c r="J134" s="9" t="s">
        <v>18</v>
      </c>
      <c r="K134" s="16" t="s">
        <v>19</v>
      </c>
    </row>
    <row r="135" customFormat="false" ht="15" hidden="false" customHeight="false" outlineLevel="0" collapsed="false">
      <c r="A135" s="4" t="s">
        <v>59</v>
      </c>
      <c r="B135" s="5" t="s">
        <v>30</v>
      </c>
      <c r="C135" s="4" t="s">
        <v>15</v>
      </c>
      <c r="D135" s="4" t="s">
        <v>16</v>
      </c>
      <c r="E135" s="6" t="n">
        <v>218</v>
      </c>
      <c r="F135" s="7" t="n">
        <v>0</v>
      </c>
      <c r="G135" s="7" t="n">
        <f aca="false">1-F135</f>
        <v>1</v>
      </c>
      <c r="H135" s="7" t="n">
        <v>1</v>
      </c>
      <c r="I135" s="8" t="s">
        <v>17</v>
      </c>
      <c r="J135" s="9" t="s">
        <v>18</v>
      </c>
      <c r="K135" s="10" t="s">
        <v>19</v>
      </c>
    </row>
    <row r="136" customFormat="false" ht="15" hidden="false" customHeight="false" outlineLevel="0" collapsed="false">
      <c r="A136" s="11" t="s">
        <v>59</v>
      </c>
      <c r="B136" s="12" t="s">
        <v>31</v>
      </c>
      <c r="C136" s="11" t="s">
        <v>15</v>
      </c>
      <c r="D136" s="11" t="s">
        <v>16</v>
      </c>
      <c r="E136" s="13" t="n">
        <v>252</v>
      </c>
      <c r="F136" s="14" t="n">
        <v>0</v>
      </c>
      <c r="G136" s="14" t="n">
        <f aca="false">1-F136</f>
        <v>1</v>
      </c>
      <c r="H136" s="14" t="n">
        <v>0.99</v>
      </c>
      <c r="I136" s="15" t="s">
        <v>17</v>
      </c>
      <c r="J136" s="9" t="s">
        <v>18</v>
      </c>
      <c r="K136" s="16" t="s">
        <v>19</v>
      </c>
    </row>
    <row r="137" customFormat="false" ht="15" hidden="false" customHeight="false" outlineLevel="0" collapsed="false">
      <c r="A137" s="4" t="s">
        <v>59</v>
      </c>
      <c r="B137" s="5" t="s">
        <v>32</v>
      </c>
      <c r="C137" s="4" t="s">
        <v>15</v>
      </c>
      <c r="D137" s="4" t="s">
        <v>16</v>
      </c>
      <c r="E137" s="6" t="n">
        <v>251</v>
      </c>
      <c r="F137" s="7" t="n">
        <v>0</v>
      </c>
      <c r="G137" s="7" t="n">
        <f aca="false">1-F137</f>
        <v>1</v>
      </c>
      <c r="H137" s="7" t="n">
        <v>0.99</v>
      </c>
      <c r="I137" s="8" t="s">
        <v>17</v>
      </c>
      <c r="J137" s="9" t="s">
        <v>18</v>
      </c>
      <c r="K137" s="10" t="s">
        <v>19</v>
      </c>
    </row>
    <row r="138" customFormat="false" ht="15" hidden="false" customHeight="false" outlineLevel="0" collapsed="false">
      <c r="A138" s="11" t="s">
        <v>59</v>
      </c>
      <c r="B138" s="12" t="s">
        <v>33</v>
      </c>
      <c r="C138" s="11" t="s">
        <v>15</v>
      </c>
      <c r="D138" s="11" t="s">
        <v>16</v>
      </c>
      <c r="E138" s="13" t="n">
        <v>242</v>
      </c>
      <c r="F138" s="14" t="n">
        <v>0</v>
      </c>
      <c r="G138" s="14" t="n">
        <f aca="false">1-F138</f>
        <v>1</v>
      </c>
      <c r="H138" s="14" t="n">
        <v>0.99</v>
      </c>
      <c r="I138" s="15" t="s">
        <v>17</v>
      </c>
      <c r="J138" s="9" t="s">
        <v>18</v>
      </c>
      <c r="K138" s="16" t="s">
        <v>19</v>
      </c>
    </row>
    <row r="139" customFormat="false" ht="15" hidden="false" customHeight="false" outlineLevel="0" collapsed="false">
      <c r="A139" s="4" t="s">
        <v>59</v>
      </c>
      <c r="B139" s="5" t="s">
        <v>34</v>
      </c>
      <c r="C139" s="4" t="s">
        <v>15</v>
      </c>
      <c r="D139" s="4" t="s">
        <v>16</v>
      </c>
      <c r="E139" s="6" t="n">
        <v>209</v>
      </c>
      <c r="F139" s="7" t="n">
        <v>0</v>
      </c>
      <c r="G139" s="7" t="n">
        <f aca="false">1-F139</f>
        <v>1</v>
      </c>
      <c r="H139" s="7" t="n">
        <v>0.99</v>
      </c>
      <c r="I139" s="8" t="s">
        <v>17</v>
      </c>
      <c r="J139" s="9" t="s">
        <v>18</v>
      </c>
      <c r="K139" s="10" t="s">
        <v>19</v>
      </c>
    </row>
    <row r="140" customFormat="false" ht="15" hidden="false" customHeight="false" outlineLevel="0" collapsed="false">
      <c r="A140" s="11" t="s">
        <v>59</v>
      </c>
      <c r="B140" s="12" t="s">
        <v>35</v>
      </c>
      <c r="C140" s="11" t="s">
        <v>15</v>
      </c>
      <c r="D140" s="11" t="s">
        <v>16</v>
      </c>
      <c r="E140" s="13" t="n">
        <v>231</v>
      </c>
      <c r="F140" s="14" t="n">
        <v>0</v>
      </c>
      <c r="G140" s="14" t="n">
        <f aca="false">1-F140</f>
        <v>1</v>
      </c>
      <c r="H140" s="14" t="n">
        <v>1</v>
      </c>
      <c r="I140" s="15" t="s">
        <v>17</v>
      </c>
      <c r="J140" s="9" t="s">
        <v>18</v>
      </c>
      <c r="K140" s="16" t="s">
        <v>19</v>
      </c>
    </row>
    <row r="141" customFormat="false" ht="15" hidden="false" customHeight="false" outlineLevel="0" collapsed="false">
      <c r="A141" s="4" t="s">
        <v>59</v>
      </c>
      <c r="B141" s="5" t="s">
        <v>36</v>
      </c>
      <c r="C141" s="4" t="s">
        <v>15</v>
      </c>
      <c r="D141" s="4" t="s">
        <v>16</v>
      </c>
      <c r="E141" s="6" t="n">
        <v>239</v>
      </c>
      <c r="F141" s="7" t="n">
        <v>0</v>
      </c>
      <c r="G141" s="7" t="n">
        <f aca="false">1-F141</f>
        <v>1</v>
      </c>
      <c r="H141" s="7" t="n">
        <v>1</v>
      </c>
      <c r="I141" s="8" t="s">
        <v>17</v>
      </c>
      <c r="J141" s="9" t="s">
        <v>18</v>
      </c>
      <c r="K141" s="10" t="s">
        <v>19</v>
      </c>
    </row>
    <row r="142" customFormat="false" ht="15" hidden="false" customHeight="false" outlineLevel="0" collapsed="false">
      <c r="A142" s="11" t="s">
        <v>59</v>
      </c>
      <c r="B142" s="12" t="s">
        <v>49</v>
      </c>
      <c r="C142" s="11" t="s">
        <v>15</v>
      </c>
      <c r="D142" s="11" t="s">
        <v>16</v>
      </c>
      <c r="E142" s="13" t="n">
        <v>202</v>
      </c>
      <c r="F142" s="14" t="n">
        <v>0</v>
      </c>
      <c r="G142" s="14" t="n">
        <f aca="false">1-F142</f>
        <v>1</v>
      </c>
      <c r="H142" s="14" t="n">
        <v>1</v>
      </c>
      <c r="I142" s="15" t="s">
        <v>17</v>
      </c>
      <c r="J142" s="9" t="s">
        <v>18</v>
      </c>
      <c r="K142" s="16" t="s">
        <v>19</v>
      </c>
    </row>
    <row r="143" customFormat="false" ht="15" hidden="false" customHeight="false" outlineLevel="0" collapsed="false">
      <c r="A143" s="4" t="s">
        <v>59</v>
      </c>
      <c r="B143" s="5" t="s">
        <v>37</v>
      </c>
      <c r="C143" s="4" t="s">
        <v>15</v>
      </c>
      <c r="D143" s="4" t="s">
        <v>16</v>
      </c>
      <c r="E143" s="6" t="n">
        <v>167</v>
      </c>
      <c r="F143" s="7" t="n">
        <v>0</v>
      </c>
      <c r="G143" s="7" t="n">
        <f aca="false">1-F143</f>
        <v>1</v>
      </c>
      <c r="H143" s="7" t="n">
        <v>1</v>
      </c>
      <c r="I143" s="8" t="s">
        <v>17</v>
      </c>
      <c r="J143" s="9" t="s">
        <v>18</v>
      </c>
      <c r="K143" s="10" t="s">
        <v>19</v>
      </c>
    </row>
    <row r="144" customFormat="false" ht="15" hidden="false" customHeight="false" outlineLevel="0" collapsed="false">
      <c r="A144" s="11" t="s">
        <v>59</v>
      </c>
      <c r="B144" s="12" t="s">
        <v>38</v>
      </c>
      <c r="C144" s="11" t="s">
        <v>15</v>
      </c>
      <c r="D144" s="11" t="s">
        <v>16</v>
      </c>
      <c r="E144" s="13" t="n">
        <v>0.723</v>
      </c>
      <c r="F144" s="14" t="n">
        <v>0</v>
      </c>
      <c r="G144" s="14" t="n">
        <f aca="false">1-F144</f>
        <v>1</v>
      </c>
      <c r="H144" s="14" t="n">
        <v>1</v>
      </c>
      <c r="I144" s="15" t="s">
        <v>17</v>
      </c>
      <c r="J144" s="9" t="s">
        <v>18</v>
      </c>
      <c r="K144" s="16" t="s">
        <v>19</v>
      </c>
    </row>
    <row r="145" customFormat="false" ht="15" hidden="false" customHeight="false" outlineLevel="0" collapsed="false">
      <c r="A145" s="4" t="s">
        <v>59</v>
      </c>
      <c r="B145" s="5" t="s">
        <v>39</v>
      </c>
      <c r="C145" s="4" t="s">
        <v>15</v>
      </c>
      <c r="D145" s="4" t="s">
        <v>16</v>
      </c>
      <c r="E145" s="6" t="n">
        <v>164</v>
      </c>
      <c r="F145" s="7" t="n">
        <v>0</v>
      </c>
      <c r="G145" s="7" t="n">
        <f aca="false">1-F145</f>
        <v>1</v>
      </c>
      <c r="H145" s="7" t="n">
        <v>1</v>
      </c>
      <c r="I145" s="8" t="s">
        <v>17</v>
      </c>
      <c r="J145" s="9" t="s">
        <v>18</v>
      </c>
      <c r="K145" s="10" t="s">
        <v>19</v>
      </c>
    </row>
    <row r="146" customFormat="false" ht="15" hidden="false" customHeight="false" outlineLevel="0" collapsed="false">
      <c r="A146" s="11" t="s">
        <v>59</v>
      </c>
      <c r="B146" s="12" t="s">
        <v>40</v>
      </c>
      <c r="C146" s="11" t="s">
        <v>15</v>
      </c>
      <c r="D146" s="11" t="s">
        <v>16</v>
      </c>
      <c r="E146" s="13" t="n">
        <v>160</v>
      </c>
      <c r="F146" s="14" t="n">
        <v>0</v>
      </c>
      <c r="G146" s="14" t="n">
        <f aca="false">1-F146</f>
        <v>1</v>
      </c>
      <c r="H146" s="14" t="n">
        <v>1</v>
      </c>
      <c r="I146" s="15" t="s">
        <v>17</v>
      </c>
      <c r="J146" s="9" t="s">
        <v>18</v>
      </c>
      <c r="K146" s="16" t="s">
        <v>19</v>
      </c>
    </row>
    <row r="147" customFormat="false" ht="15" hidden="false" customHeight="false" outlineLevel="0" collapsed="false">
      <c r="A147" s="4" t="s">
        <v>59</v>
      </c>
      <c r="B147" s="5" t="s">
        <v>41</v>
      </c>
      <c r="C147" s="4" t="s">
        <v>15</v>
      </c>
      <c r="D147" s="4" t="s">
        <v>16</v>
      </c>
      <c r="E147" s="6" t="n">
        <v>157</v>
      </c>
      <c r="F147" s="7" t="n">
        <v>0</v>
      </c>
      <c r="G147" s="7" t="n">
        <f aca="false">1-F147</f>
        <v>1</v>
      </c>
      <c r="H147" s="7" t="n">
        <v>0.99</v>
      </c>
      <c r="I147" s="8" t="s">
        <v>17</v>
      </c>
      <c r="J147" s="9" t="s">
        <v>18</v>
      </c>
      <c r="K147" s="10" t="s">
        <v>19</v>
      </c>
    </row>
  </sheetData>
  <autoFilter ref="A4:K1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40"/>
  </cols>
  <sheetData>
    <row r="2" customFormat="false" ht="17.35" hidden="false" customHeight="false" outlineLevel="0" collapsed="false">
      <c r="B2" s="1" t="s">
        <v>60</v>
      </c>
    </row>
    <row r="3" customFormat="false" ht="15" hidden="false" customHeight="false" outlineLevel="0" collapsed="false">
      <c r="B3" s="2" t="s">
        <v>61</v>
      </c>
    </row>
    <row r="5" customFormat="false" ht="15" hidden="false" customHeight="false" outlineLevel="0" collapsed="false">
      <c r="B5" s="18" t="s">
        <v>62</v>
      </c>
      <c r="C5" s="19"/>
      <c r="D5" s="19"/>
    </row>
    <row r="6" customFormat="false" ht="15" hidden="false" customHeight="false" outlineLevel="0" collapsed="false">
      <c r="B6" s="20" t="s">
        <v>63</v>
      </c>
      <c r="C6" s="21" t="n">
        <f aca="false">COUNTA('NVMe SMART Summary'!$A$5:$A$147)</f>
        <v>143</v>
      </c>
    </row>
    <row r="7" customFormat="false" ht="15" hidden="false" customHeight="false" outlineLevel="0" collapsed="false">
      <c r="B7" s="20" t="s">
        <v>18</v>
      </c>
      <c r="C7" s="22" t="n">
        <f aca="false">COUNTIF('NVMe SMART Summary'!$J$5:$J$147,"Good")</f>
        <v>131</v>
      </c>
    </row>
    <row r="8" customFormat="false" ht="15" hidden="false" customHeight="false" outlineLevel="0" collapsed="false">
      <c r="B8" s="20" t="s">
        <v>44</v>
      </c>
      <c r="C8" s="23" t="n">
        <f aca="false">COUNTIF('NVMe SMART Summary'!$J$5:$J$147,"Warning")</f>
        <v>12</v>
      </c>
    </row>
    <row r="9" customFormat="false" ht="15" hidden="false" customHeight="false" outlineLevel="0" collapsed="false">
      <c r="B9" s="20" t="s">
        <v>64</v>
      </c>
      <c r="C9" s="24" t="n">
        <f aca="false">COUNTIF('NVMe SMART Summary'!$J$5:$J$147,"Not good")</f>
        <v>0</v>
      </c>
    </row>
    <row r="11" customFormat="false" ht="15" hidden="false" customHeight="false" outlineLevel="0" collapsed="false">
      <c r="B11" s="18" t="s">
        <v>65</v>
      </c>
      <c r="C11" s="19"/>
      <c r="D11" s="19"/>
    </row>
    <row r="12" customFormat="false" ht="15" hidden="false" customHeight="false" outlineLevel="0" collapsed="false">
      <c r="B12" s="20" t="s">
        <v>17</v>
      </c>
      <c r="C12" s="22" t="n">
        <f aca="false">COUNTIF('NVMe SMART Summary'!$I$5:$I$147,"PASSED")</f>
        <v>143</v>
      </c>
    </row>
    <row r="13" customFormat="false" ht="15" hidden="false" customHeight="false" outlineLevel="0" collapsed="false">
      <c r="B13" s="20" t="s">
        <v>66</v>
      </c>
      <c r="C13" s="24" t="n">
        <f aca="false">COUNTIF('NVMe SMART Summary'!$I$5:$I$147,"FAILED")</f>
        <v>0</v>
      </c>
    </row>
    <row r="15" customFormat="false" ht="15" hidden="false" customHeight="false" outlineLevel="0" collapsed="false">
      <c r="B15" s="18" t="s">
        <v>67</v>
      </c>
      <c r="C15" s="19"/>
      <c r="D15" s="19"/>
    </row>
    <row r="16" customFormat="false" ht="15" hidden="false" customHeight="false" outlineLevel="0" collapsed="false">
      <c r="B16" s="20" t="s">
        <v>68</v>
      </c>
      <c r="C16" s="25" t="n">
        <f aca="false">SUM('NVMe SMART Summary'!$E$5:$E$147)</f>
        <v>52608.423</v>
      </c>
    </row>
    <row r="17" customFormat="false" ht="15" hidden="false" customHeight="false" outlineLevel="0" collapsed="false">
      <c r="B17" s="20" t="s">
        <v>69</v>
      </c>
      <c r="C17" s="26" t="n">
        <f aca="false">AVERAGE('NVMe SMART Summary'!$E$5:$E$147)</f>
        <v>367.89106993007</v>
      </c>
    </row>
    <row r="18" customFormat="false" ht="15" hidden="false" customHeight="false" outlineLevel="0" collapsed="false">
      <c r="B18" s="20" t="s">
        <v>70</v>
      </c>
      <c r="C18" s="26" t="n">
        <f aca="false">MAX('NVMe SMART Summary'!$E$5:$E$147)</f>
        <v>861</v>
      </c>
    </row>
    <row r="20" customFormat="false" ht="15" hidden="false" customHeight="false" outlineLevel="0" collapsed="false">
      <c r="B20" s="18" t="s">
        <v>71</v>
      </c>
      <c r="C20" s="19"/>
      <c r="D20" s="19"/>
    </row>
    <row r="21" customFormat="false" ht="15" hidden="false" customHeight="false" outlineLevel="0" collapsed="false">
      <c r="B21" s="20" t="s">
        <v>53</v>
      </c>
      <c r="C21" s="21" t="n">
        <f aca="false">COUNTIF('NVMe SMART Summary'!$C$5:$C$147,"Dell Ent NVMe CM6 MU 3.2TB")</f>
        <v>3</v>
      </c>
    </row>
    <row r="22" customFormat="false" ht="15" hidden="false" customHeight="false" outlineLevel="0" collapsed="false">
      <c r="B22" s="20" t="s">
        <v>15</v>
      </c>
      <c r="C22" s="21" t="n">
        <f aca="false">COUNTIF('NVMe SMART Summary'!$C$5:$C$147,"Dell Express Flash NVMe P4610 3.2TB SFF")</f>
        <v>116</v>
      </c>
    </row>
    <row r="23" customFormat="false" ht="15" hidden="false" customHeight="false" outlineLevel="0" collapsed="false">
      <c r="B23" s="20" t="s">
        <v>43</v>
      </c>
      <c r="C23" s="21" t="n">
        <f aca="false">COUNTIF('NVMe SMART Summary'!$C$5:$C$147,"Dell Express Flash NVMe SM1715 3.2TB SFF")</f>
        <v>12</v>
      </c>
    </row>
    <row r="24" customFormat="false" ht="15" hidden="false" customHeight="false" outlineLevel="0" collapsed="false">
      <c r="B24" s="20" t="s">
        <v>56</v>
      </c>
      <c r="C24" s="21" t="n">
        <f aca="false">COUNTIF('NVMe SMART Summary'!$C$5:$C$147,"Dell Express Flash PM1725b 3.2TB SFF")</f>
        <v>12</v>
      </c>
    </row>
    <row r="26" customFormat="false" ht="15" hidden="false" customHeight="false" outlineLevel="0" collapsed="false">
      <c r="B26" s="18" t="s">
        <v>72</v>
      </c>
      <c r="C26" s="19"/>
      <c r="D26" s="19"/>
    </row>
    <row r="27" customFormat="false" ht="15" hidden="false" customHeight="false" outlineLevel="0" collapsed="false">
      <c r="B27" s="27" t="s">
        <v>73</v>
      </c>
      <c r="C27" s="28" t="s">
        <v>74</v>
      </c>
      <c r="D27" s="28" t="s">
        <v>75</v>
      </c>
    </row>
    <row r="28" customFormat="false" ht="15" hidden="false" customHeight="false" outlineLevel="0" collapsed="false">
      <c r="B28" s="20" t="s">
        <v>13</v>
      </c>
      <c r="C28" s="21" t="n">
        <f aca="false">COUNTIF('NVMe SMART Summary'!$A$5:$A$147,"zs-storage01")</f>
        <v>23</v>
      </c>
      <c r="D28" s="21" t="n">
        <f aca="false">COUNTIFS('NVMe SMART Summary'!$A$5:$A$147,"zs-storage01",'NVMe SMART Summary'!$J$5:$J$147,"Warning")+COUNTIFS('NVMe SMART Summary'!$A$5:$A$147,"zs-storage01",'NVMe SMART Summary'!$J$5:$J$147,"Not good")</f>
        <v>0</v>
      </c>
    </row>
    <row r="29" customFormat="false" ht="15" hidden="false" customHeight="false" outlineLevel="0" collapsed="false">
      <c r="B29" s="20" t="s">
        <v>42</v>
      </c>
      <c r="C29" s="21" t="n">
        <f aca="false">COUNTIF('NVMe SMART Summary'!$A$5:$A$147,"zs-storage02")</f>
        <v>24</v>
      </c>
      <c r="D29" s="21" t="n">
        <f aca="false">COUNTIFS('NVMe SMART Summary'!$A$5:$A$147,"zs-storage02",'NVMe SMART Summary'!$J$5:$J$147,"Warning")+COUNTIFS('NVMe SMART Summary'!$A$5:$A$147,"zs-storage02",'NVMe SMART Summary'!$J$5:$J$147,"Not good")</f>
        <v>10</v>
      </c>
    </row>
    <row r="30" customFormat="false" ht="15" hidden="false" customHeight="false" outlineLevel="0" collapsed="false">
      <c r="B30" s="20" t="s">
        <v>52</v>
      </c>
      <c r="C30" s="21" t="n">
        <f aca="false">COUNTIF('NVMe SMART Summary'!$A$5:$A$147,"zs-storage03")</f>
        <v>24</v>
      </c>
      <c r="D30" s="21" t="n">
        <f aca="false">COUNTIFS('NVMe SMART Summary'!$A$5:$A$147,"zs-storage03",'NVMe SMART Summary'!$J$5:$J$147,"Warning")+COUNTIFS('NVMe SMART Summary'!$A$5:$A$147,"zs-storage03",'NVMe SMART Summary'!$J$5:$J$147,"Not good")</f>
        <v>2</v>
      </c>
    </row>
    <row r="31" customFormat="false" ht="15" hidden="false" customHeight="false" outlineLevel="0" collapsed="false">
      <c r="B31" s="20" t="s">
        <v>57</v>
      </c>
      <c r="C31" s="21" t="n">
        <f aca="false">COUNTIF('NVMe SMART Summary'!$A$5:$A$147,"zs-storage04")</f>
        <v>24</v>
      </c>
      <c r="D31" s="21" t="n">
        <f aca="false">COUNTIFS('NVMe SMART Summary'!$A$5:$A$147,"zs-storage04",'NVMe SMART Summary'!$J$5:$J$147,"Warning")+COUNTIFS('NVMe SMART Summary'!$A$5:$A$147,"zs-storage04",'NVMe SMART Summary'!$J$5:$J$147,"Not good")</f>
        <v>0</v>
      </c>
    </row>
    <row r="32" customFormat="false" ht="15" hidden="false" customHeight="false" outlineLevel="0" collapsed="false">
      <c r="B32" s="20" t="s">
        <v>58</v>
      </c>
      <c r="C32" s="21" t="n">
        <f aca="false">COUNTIF('NVMe SMART Summary'!$A$5:$A$147,"zs-storage05")</f>
        <v>24</v>
      </c>
      <c r="D32" s="21" t="n">
        <f aca="false">COUNTIFS('NVMe SMART Summary'!$A$5:$A$147,"zs-storage05",'NVMe SMART Summary'!$J$5:$J$147,"Warning")+COUNTIFS('NVMe SMART Summary'!$A$5:$A$147,"zs-storage05",'NVMe SMART Summary'!$J$5:$J$147,"Not good")</f>
        <v>0</v>
      </c>
    </row>
    <row r="33" customFormat="false" ht="15" hidden="false" customHeight="false" outlineLevel="0" collapsed="false">
      <c r="B33" s="20" t="s">
        <v>59</v>
      </c>
      <c r="C33" s="21" t="n">
        <f aca="false">COUNTIF('NVMe SMART Summary'!$A$5:$A$147,"zs-storage06")</f>
        <v>24</v>
      </c>
      <c r="D33" s="21" t="n">
        <f aca="false">COUNTIFS('NVMe SMART Summary'!$A$5:$A$147,"zs-storage06",'NVMe SMART Summary'!$J$5:$J$147,"Warning")+COUNTIFS('NVMe SMART Summary'!$A$5:$A$147,"zs-storage06",'NVMe SMART Summary'!$J$5:$J$147,"Not good")</f>
        <v>0</v>
      </c>
    </row>
    <row r="35" customFormat="false" ht="15" hidden="false" customHeight="false" outlineLevel="0" collapsed="false">
      <c r="B35" s="18" t="s">
        <v>76</v>
      </c>
      <c r="C35" s="19"/>
      <c r="D35" s="19"/>
    </row>
    <row r="36" customFormat="false" ht="15" hidden="false" customHeight="false" outlineLevel="0" collapsed="false">
      <c r="B36" s="29" t="s">
        <v>77</v>
      </c>
    </row>
    <row r="37" customFormat="false" ht="15" hidden="false" customHeight="false" outlineLevel="0" collapsed="false">
      <c r="B37" s="29" t="s">
        <v>78</v>
      </c>
    </row>
    <row r="38" customFormat="false" ht="15" hidden="false" customHeight="false" outlineLevel="0" collapsed="false">
      <c r="B38" s="29" t="s">
        <v>79</v>
      </c>
    </row>
    <row r="39" customFormat="false" ht="15" hidden="false" customHeight="false" outlineLevel="0" collapsed="false">
      <c r="B39" s="29" t="s">
        <v>80</v>
      </c>
    </row>
    <row r="40" customFormat="false" ht="15" hidden="false" customHeight="false" outlineLevel="0" collapsed="false">
      <c r="B40" s="29" t="s">
        <v>81</v>
      </c>
    </row>
    <row r="41" customFormat="false" ht="15" hidden="false" customHeight="false" outlineLevel="0" collapsed="false">
      <c r="B41" s="2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8" min="6" style="0" width="10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1"/>
  </cols>
  <sheetData>
    <row r="1" customFormat="false" ht="27.75" hidden="false" customHeight="true" outlineLevel="0" collapsed="false">
      <c r="A1" s="3" t="s">
        <v>2</v>
      </c>
      <c r="B1" s="3" t="s">
        <v>3</v>
      </c>
      <c r="C1" s="3" t="s">
        <v>4</v>
      </c>
      <c r="D1" s="3" t="s">
        <v>83</v>
      </c>
      <c r="E1" s="3" t="s">
        <v>84</v>
      </c>
      <c r="F1" s="3" t="s">
        <v>5</v>
      </c>
      <c r="G1" s="3" t="s">
        <v>85</v>
      </c>
      <c r="H1" s="3" t="s">
        <v>86</v>
      </c>
      <c r="I1" s="3" t="s">
        <v>7</v>
      </c>
      <c r="J1" s="3" t="s">
        <v>9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10</v>
      </c>
      <c r="S1" s="3" t="s">
        <v>11</v>
      </c>
    </row>
    <row r="2" customFormat="false" ht="15" hidden="false" customHeight="false" outlineLevel="0" collapsed="false">
      <c r="A2" s="4" t="s">
        <v>13</v>
      </c>
      <c r="B2" s="4" t="s">
        <v>14</v>
      </c>
      <c r="C2" s="4" t="s">
        <v>15</v>
      </c>
      <c r="D2" s="4" t="s">
        <v>94</v>
      </c>
      <c r="E2" s="4" t="s">
        <v>95</v>
      </c>
      <c r="F2" s="4" t="s">
        <v>16</v>
      </c>
      <c r="G2" s="4" t="s">
        <v>96</v>
      </c>
      <c r="H2" s="4" t="s">
        <v>97</v>
      </c>
      <c r="I2" s="4" t="s">
        <v>98</v>
      </c>
      <c r="J2" s="4" t="s">
        <v>99</v>
      </c>
      <c r="K2" s="4" t="s">
        <v>100</v>
      </c>
      <c r="L2" s="30" t="n">
        <v>30709</v>
      </c>
      <c r="M2" s="4" t="s">
        <v>101</v>
      </c>
      <c r="N2" s="4" t="s">
        <v>102</v>
      </c>
      <c r="O2" s="4" t="n">
        <v>0</v>
      </c>
      <c r="P2" s="4" t="n">
        <v>0</v>
      </c>
      <c r="Q2" s="4" t="n">
        <v>78</v>
      </c>
      <c r="R2" s="4" t="s">
        <v>17</v>
      </c>
      <c r="S2" s="4" t="s">
        <v>18</v>
      </c>
    </row>
    <row r="3" customFormat="false" ht="15" hidden="false" customHeight="false" outlineLevel="0" collapsed="false">
      <c r="A3" s="11" t="s">
        <v>13</v>
      </c>
      <c r="B3" s="11" t="s">
        <v>20</v>
      </c>
      <c r="C3" s="11" t="s">
        <v>15</v>
      </c>
      <c r="D3" s="11" t="s">
        <v>103</v>
      </c>
      <c r="E3" s="11" t="s">
        <v>95</v>
      </c>
      <c r="F3" s="11" t="s">
        <v>16</v>
      </c>
      <c r="G3" s="11" t="s">
        <v>104</v>
      </c>
      <c r="H3" s="11" t="s">
        <v>105</v>
      </c>
      <c r="I3" s="11" t="s">
        <v>106</v>
      </c>
      <c r="J3" s="11" t="s">
        <v>107</v>
      </c>
      <c r="K3" s="11" t="s">
        <v>100</v>
      </c>
      <c r="L3" s="31" t="n">
        <v>30701</v>
      </c>
      <c r="M3" s="11" t="s">
        <v>101</v>
      </c>
      <c r="N3" s="11" t="s">
        <v>102</v>
      </c>
      <c r="O3" s="11" t="n">
        <v>0</v>
      </c>
      <c r="P3" s="11" t="n">
        <v>0</v>
      </c>
      <c r="Q3" s="11" t="n">
        <v>49</v>
      </c>
      <c r="R3" s="11" t="s">
        <v>17</v>
      </c>
      <c r="S3" s="11" t="s">
        <v>18</v>
      </c>
    </row>
    <row r="4" customFormat="false" ht="15" hidden="false" customHeight="false" outlineLevel="0" collapsed="false">
      <c r="A4" s="4" t="s">
        <v>13</v>
      </c>
      <c r="B4" s="4" t="s">
        <v>21</v>
      </c>
      <c r="C4" s="4" t="s">
        <v>15</v>
      </c>
      <c r="D4" s="4" t="s">
        <v>108</v>
      </c>
      <c r="E4" s="4" t="s">
        <v>95</v>
      </c>
      <c r="F4" s="4" t="s">
        <v>16</v>
      </c>
      <c r="G4" s="4" t="s">
        <v>109</v>
      </c>
      <c r="H4" s="4" t="s">
        <v>110</v>
      </c>
      <c r="I4" s="4" t="s">
        <v>106</v>
      </c>
      <c r="J4" s="4" t="s">
        <v>99</v>
      </c>
      <c r="K4" s="4" t="s">
        <v>100</v>
      </c>
      <c r="L4" s="30" t="n">
        <v>30699</v>
      </c>
      <c r="M4" s="4" t="s">
        <v>101</v>
      </c>
      <c r="N4" s="4" t="s">
        <v>102</v>
      </c>
      <c r="O4" s="4" t="n">
        <v>0</v>
      </c>
      <c r="P4" s="4" t="n">
        <v>0</v>
      </c>
      <c r="Q4" s="4" t="n">
        <v>60</v>
      </c>
      <c r="R4" s="4" t="s">
        <v>17</v>
      </c>
      <c r="S4" s="4" t="s">
        <v>18</v>
      </c>
    </row>
    <row r="5" customFormat="false" ht="15" hidden="false" customHeight="false" outlineLevel="0" collapsed="false">
      <c r="A5" s="11" t="s">
        <v>13</v>
      </c>
      <c r="B5" s="11" t="s">
        <v>22</v>
      </c>
      <c r="C5" s="11" t="s">
        <v>15</v>
      </c>
      <c r="D5" s="11" t="s">
        <v>111</v>
      </c>
      <c r="E5" s="11" t="s">
        <v>95</v>
      </c>
      <c r="F5" s="11" t="s">
        <v>16</v>
      </c>
      <c r="G5" s="11" t="s">
        <v>109</v>
      </c>
      <c r="H5" s="11" t="s">
        <v>112</v>
      </c>
      <c r="I5" s="11" t="s">
        <v>106</v>
      </c>
      <c r="J5" s="11" t="s">
        <v>99</v>
      </c>
      <c r="K5" s="11" t="s">
        <v>100</v>
      </c>
      <c r="L5" s="31" t="n">
        <v>30706</v>
      </c>
      <c r="M5" s="11" t="s">
        <v>101</v>
      </c>
      <c r="N5" s="11" t="s">
        <v>102</v>
      </c>
      <c r="O5" s="11" t="n">
        <v>0</v>
      </c>
      <c r="P5" s="11" t="n">
        <v>0</v>
      </c>
      <c r="Q5" s="11" t="n">
        <v>55</v>
      </c>
      <c r="R5" s="11" t="s">
        <v>17</v>
      </c>
      <c r="S5" s="11" t="s">
        <v>18</v>
      </c>
    </row>
    <row r="6" customFormat="false" ht="15" hidden="false" customHeight="false" outlineLevel="0" collapsed="false">
      <c r="A6" s="4" t="s">
        <v>13</v>
      </c>
      <c r="B6" s="4" t="s">
        <v>23</v>
      </c>
      <c r="C6" s="4" t="s">
        <v>15</v>
      </c>
      <c r="D6" s="4" t="s">
        <v>113</v>
      </c>
      <c r="E6" s="4" t="s">
        <v>95</v>
      </c>
      <c r="F6" s="4" t="s">
        <v>16</v>
      </c>
      <c r="G6" s="4" t="s">
        <v>114</v>
      </c>
      <c r="H6" s="4" t="s">
        <v>115</v>
      </c>
      <c r="I6" s="4" t="s">
        <v>98</v>
      </c>
      <c r="J6" s="4" t="s">
        <v>99</v>
      </c>
      <c r="K6" s="4" t="s">
        <v>100</v>
      </c>
      <c r="L6" s="30" t="n">
        <v>30694</v>
      </c>
      <c r="M6" s="4" t="s">
        <v>101</v>
      </c>
      <c r="N6" s="4" t="s">
        <v>102</v>
      </c>
      <c r="O6" s="4" t="n">
        <v>0</v>
      </c>
      <c r="P6" s="4" t="n">
        <v>0</v>
      </c>
      <c r="Q6" s="4" t="n">
        <v>54</v>
      </c>
      <c r="R6" s="4" t="s">
        <v>17</v>
      </c>
      <c r="S6" s="4" t="s">
        <v>18</v>
      </c>
    </row>
    <row r="7" customFormat="false" ht="15" hidden="false" customHeight="false" outlineLevel="0" collapsed="false">
      <c r="A7" s="11" t="s">
        <v>13</v>
      </c>
      <c r="B7" s="11" t="s">
        <v>24</v>
      </c>
      <c r="C7" s="11" t="s">
        <v>15</v>
      </c>
      <c r="D7" s="11" t="s">
        <v>116</v>
      </c>
      <c r="E7" s="11" t="s">
        <v>95</v>
      </c>
      <c r="F7" s="11" t="s">
        <v>16</v>
      </c>
      <c r="G7" s="11" t="s">
        <v>117</v>
      </c>
      <c r="H7" s="11" t="s">
        <v>118</v>
      </c>
      <c r="I7" s="11" t="s">
        <v>98</v>
      </c>
      <c r="J7" s="11" t="s">
        <v>107</v>
      </c>
      <c r="K7" s="11" t="s">
        <v>100</v>
      </c>
      <c r="L7" s="31" t="n">
        <v>30727</v>
      </c>
      <c r="M7" s="11" t="s">
        <v>101</v>
      </c>
      <c r="N7" s="11" t="s">
        <v>102</v>
      </c>
      <c r="O7" s="11" t="n">
        <v>0</v>
      </c>
      <c r="P7" s="11" t="n">
        <v>0</v>
      </c>
      <c r="Q7" s="11" t="n">
        <v>59</v>
      </c>
      <c r="R7" s="11" t="s">
        <v>17</v>
      </c>
      <c r="S7" s="11" t="s">
        <v>18</v>
      </c>
    </row>
    <row r="8" customFormat="false" ht="15" hidden="false" customHeight="false" outlineLevel="0" collapsed="false">
      <c r="A8" s="4" t="s">
        <v>13</v>
      </c>
      <c r="B8" s="4" t="s">
        <v>25</v>
      </c>
      <c r="C8" s="4" t="s">
        <v>15</v>
      </c>
      <c r="D8" s="4" t="s">
        <v>119</v>
      </c>
      <c r="E8" s="4" t="s">
        <v>95</v>
      </c>
      <c r="F8" s="4" t="s">
        <v>16</v>
      </c>
      <c r="G8" s="4" t="s">
        <v>120</v>
      </c>
      <c r="H8" s="4" t="s">
        <v>121</v>
      </c>
      <c r="I8" s="4" t="s">
        <v>106</v>
      </c>
      <c r="J8" s="4" t="s">
        <v>107</v>
      </c>
      <c r="K8" s="4" t="s">
        <v>100</v>
      </c>
      <c r="L8" s="30" t="n">
        <v>30729</v>
      </c>
      <c r="M8" s="4" t="s">
        <v>101</v>
      </c>
      <c r="N8" s="4" t="s">
        <v>102</v>
      </c>
      <c r="O8" s="4" t="n">
        <v>0</v>
      </c>
      <c r="P8" s="4" t="n">
        <v>0</v>
      </c>
      <c r="Q8" s="4" t="n">
        <v>52</v>
      </c>
      <c r="R8" s="4" t="s">
        <v>17</v>
      </c>
      <c r="S8" s="4" t="s">
        <v>18</v>
      </c>
    </row>
    <row r="9" customFormat="false" ht="15" hidden="false" customHeight="false" outlineLevel="0" collapsed="false">
      <c r="A9" s="11" t="s">
        <v>13</v>
      </c>
      <c r="B9" s="11" t="s">
        <v>26</v>
      </c>
      <c r="C9" s="11" t="s">
        <v>15</v>
      </c>
      <c r="D9" s="11" t="s">
        <v>122</v>
      </c>
      <c r="E9" s="11" t="s">
        <v>95</v>
      </c>
      <c r="F9" s="11" t="s">
        <v>16</v>
      </c>
      <c r="G9" s="11" t="s">
        <v>123</v>
      </c>
      <c r="H9" s="11" t="s">
        <v>124</v>
      </c>
      <c r="I9" s="11" t="s">
        <v>106</v>
      </c>
      <c r="J9" s="11" t="s">
        <v>107</v>
      </c>
      <c r="K9" s="11" t="s">
        <v>100</v>
      </c>
      <c r="L9" s="31" t="n">
        <v>30696</v>
      </c>
      <c r="M9" s="11" t="s">
        <v>101</v>
      </c>
      <c r="N9" s="11" t="s">
        <v>102</v>
      </c>
      <c r="O9" s="11" t="n">
        <v>0</v>
      </c>
      <c r="P9" s="11" t="n">
        <v>0</v>
      </c>
      <c r="Q9" s="11" t="n">
        <v>54</v>
      </c>
      <c r="R9" s="11" t="s">
        <v>17</v>
      </c>
      <c r="S9" s="11" t="s">
        <v>18</v>
      </c>
    </row>
    <row r="10" customFormat="false" ht="15" hidden="false" customHeight="false" outlineLevel="0" collapsed="false">
      <c r="A10" s="4" t="s">
        <v>13</v>
      </c>
      <c r="B10" s="4" t="s">
        <v>27</v>
      </c>
      <c r="C10" s="4" t="s">
        <v>15</v>
      </c>
      <c r="D10" s="4" t="s">
        <v>125</v>
      </c>
      <c r="E10" s="4" t="s">
        <v>95</v>
      </c>
      <c r="F10" s="4" t="s">
        <v>16</v>
      </c>
      <c r="G10" s="4" t="s">
        <v>126</v>
      </c>
      <c r="H10" s="4" t="s">
        <v>127</v>
      </c>
      <c r="I10" s="4" t="s">
        <v>106</v>
      </c>
      <c r="J10" s="4" t="s">
        <v>107</v>
      </c>
      <c r="K10" s="4" t="s">
        <v>100</v>
      </c>
      <c r="L10" s="30" t="n">
        <v>30710</v>
      </c>
      <c r="M10" s="4" t="s">
        <v>128</v>
      </c>
      <c r="N10" s="4" t="s">
        <v>102</v>
      </c>
      <c r="O10" s="4" t="n">
        <v>0</v>
      </c>
      <c r="P10" s="4" t="n">
        <v>0</v>
      </c>
      <c r="Q10" s="4" t="n">
        <v>63</v>
      </c>
      <c r="R10" s="4" t="s">
        <v>17</v>
      </c>
      <c r="S10" s="4" t="s">
        <v>18</v>
      </c>
    </row>
    <row r="11" customFormat="false" ht="15" hidden="false" customHeight="false" outlineLevel="0" collapsed="false">
      <c r="A11" s="11" t="s">
        <v>13</v>
      </c>
      <c r="B11" s="11" t="s">
        <v>28</v>
      </c>
      <c r="C11" s="11" t="s">
        <v>15</v>
      </c>
      <c r="D11" s="11" t="s">
        <v>129</v>
      </c>
      <c r="E11" s="11" t="s">
        <v>95</v>
      </c>
      <c r="F11" s="11" t="s">
        <v>16</v>
      </c>
      <c r="G11" s="11" t="s">
        <v>130</v>
      </c>
      <c r="H11" s="11" t="s">
        <v>131</v>
      </c>
      <c r="I11" s="11" t="s">
        <v>106</v>
      </c>
      <c r="J11" s="11" t="s">
        <v>107</v>
      </c>
      <c r="K11" s="11" t="s">
        <v>100</v>
      </c>
      <c r="L11" s="31" t="n">
        <v>30705</v>
      </c>
      <c r="M11" s="11" t="s">
        <v>132</v>
      </c>
      <c r="N11" s="11" t="s">
        <v>102</v>
      </c>
      <c r="O11" s="11" t="n">
        <v>0</v>
      </c>
      <c r="P11" s="11" t="n">
        <v>0</v>
      </c>
      <c r="Q11" s="11" t="n">
        <v>53</v>
      </c>
      <c r="R11" s="11" t="s">
        <v>17</v>
      </c>
      <c r="S11" s="11" t="s">
        <v>18</v>
      </c>
    </row>
    <row r="12" customFormat="false" ht="15" hidden="false" customHeight="false" outlineLevel="0" collapsed="false">
      <c r="A12" s="4" t="s">
        <v>13</v>
      </c>
      <c r="B12" s="4" t="s">
        <v>29</v>
      </c>
      <c r="C12" s="4" t="s">
        <v>15</v>
      </c>
      <c r="D12" s="4" t="s">
        <v>133</v>
      </c>
      <c r="E12" s="4" t="s">
        <v>95</v>
      </c>
      <c r="F12" s="4" t="s">
        <v>16</v>
      </c>
      <c r="G12" s="4" t="s">
        <v>134</v>
      </c>
      <c r="H12" s="4" t="s">
        <v>135</v>
      </c>
      <c r="I12" s="4" t="s">
        <v>106</v>
      </c>
      <c r="J12" s="4" t="s">
        <v>107</v>
      </c>
      <c r="K12" s="4" t="s">
        <v>100</v>
      </c>
      <c r="L12" s="30" t="n">
        <v>30719</v>
      </c>
      <c r="M12" s="4" t="s">
        <v>101</v>
      </c>
      <c r="N12" s="4" t="s">
        <v>102</v>
      </c>
      <c r="O12" s="4" t="n">
        <v>0</v>
      </c>
      <c r="P12" s="4" t="n">
        <v>0</v>
      </c>
      <c r="Q12" s="4" t="n">
        <v>113</v>
      </c>
      <c r="R12" s="4" t="s">
        <v>17</v>
      </c>
      <c r="S12" s="4" t="s">
        <v>18</v>
      </c>
    </row>
    <row r="13" customFormat="false" ht="15" hidden="false" customHeight="false" outlineLevel="0" collapsed="false">
      <c r="A13" s="11" t="s">
        <v>13</v>
      </c>
      <c r="B13" s="11" t="s">
        <v>30</v>
      </c>
      <c r="C13" s="11" t="s">
        <v>15</v>
      </c>
      <c r="D13" s="11" t="s">
        <v>136</v>
      </c>
      <c r="E13" s="11" t="s">
        <v>95</v>
      </c>
      <c r="F13" s="11" t="s">
        <v>16</v>
      </c>
      <c r="G13" s="11" t="s">
        <v>137</v>
      </c>
      <c r="H13" s="11" t="s">
        <v>138</v>
      </c>
      <c r="I13" s="11" t="s">
        <v>139</v>
      </c>
      <c r="J13" s="11" t="s">
        <v>107</v>
      </c>
      <c r="K13" s="11" t="s">
        <v>100</v>
      </c>
      <c r="L13" s="31" t="n">
        <v>31138</v>
      </c>
      <c r="M13" s="11" t="s">
        <v>101</v>
      </c>
      <c r="N13" s="11" t="s">
        <v>102</v>
      </c>
      <c r="O13" s="11" t="n">
        <v>0</v>
      </c>
      <c r="P13" s="11" t="n">
        <v>0</v>
      </c>
      <c r="Q13" s="11" t="n">
        <v>36</v>
      </c>
      <c r="R13" s="11" t="s">
        <v>17</v>
      </c>
      <c r="S13" s="11" t="s">
        <v>18</v>
      </c>
    </row>
    <row r="14" customFormat="false" ht="15" hidden="false" customHeight="false" outlineLevel="0" collapsed="false">
      <c r="A14" s="4" t="s">
        <v>13</v>
      </c>
      <c r="B14" s="4" t="s">
        <v>31</v>
      </c>
      <c r="C14" s="4" t="s">
        <v>15</v>
      </c>
      <c r="D14" s="4" t="s">
        <v>140</v>
      </c>
      <c r="E14" s="4" t="s">
        <v>95</v>
      </c>
      <c r="F14" s="4" t="s">
        <v>16</v>
      </c>
      <c r="G14" s="4" t="s">
        <v>141</v>
      </c>
      <c r="H14" s="4" t="s">
        <v>142</v>
      </c>
      <c r="I14" s="4" t="s">
        <v>139</v>
      </c>
      <c r="J14" s="4" t="s">
        <v>107</v>
      </c>
      <c r="K14" s="4" t="s">
        <v>100</v>
      </c>
      <c r="L14" s="30" t="n">
        <v>22493</v>
      </c>
      <c r="M14" s="4" t="s">
        <v>101</v>
      </c>
      <c r="N14" s="4" t="s">
        <v>102</v>
      </c>
      <c r="O14" s="4" t="n">
        <v>0</v>
      </c>
      <c r="P14" s="4" t="n">
        <v>0</v>
      </c>
      <c r="Q14" s="4" t="n">
        <v>82</v>
      </c>
      <c r="R14" s="4" t="s">
        <v>17</v>
      </c>
      <c r="S14" s="4" t="s">
        <v>18</v>
      </c>
    </row>
    <row r="15" customFormat="false" ht="15" hidden="false" customHeight="false" outlineLevel="0" collapsed="false">
      <c r="A15" s="11" t="s">
        <v>13</v>
      </c>
      <c r="B15" s="11" t="s">
        <v>32</v>
      </c>
      <c r="C15" s="11" t="s">
        <v>15</v>
      </c>
      <c r="D15" s="11" t="s">
        <v>143</v>
      </c>
      <c r="E15" s="11" t="s">
        <v>95</v>
      </c>
      <c r="F15" s="11" t="s">
        <v>16</v>
      </c>
      <c r="G15" s="11" t="s">
        <v>144</v>
      </c>
      <c r="H15" s="11" t="s">
        <v>145</v>
      </c>
      <c r="I15" s="11" t="s">
        <v>146</v>
      </c>
      <c r="J15" s="11" t="s">
        <v>99</v>
      </c>
      <c r="K15" s="11" t="s">
        <v>100</v>
      </c>
      <c r="L15" s="31" t="n">
        <v>30702</v>
      </c>
      <c r="M15" s="11" t="s">
        <v>101</v>
      </c>
      <c r="N15" s="11" t="s">
        <v>102</v>
      </c>
      <c r="O15" s="11" t="n">
        <v>0</v>
      </c>
      <c r="P15" s="11" t="n">
        <v>0</v>
      </c>
      <c r="Q15" s="11" t="n">
        <v>46</v>
      </c>
      <c r="R15" s="11" t="s">
        <v>17</v>
      </c>
      <c r="S15" s="11" t="s">
        <v>18</v>
      </c>
    </row>
    <row r="16" customFormat="false" ht="15" hidden="false" customHeight="false" outlineLevel="0" collapsed="false">
      <c r="A16" s="4" t="s">
        <v>13</v>
      </c>
      <c r="B16" s="4" t="s">
        <v>33</v>
      </c>
      <c r="C16" s="4" t="s">
        <v>15</v>
      </c>
      <c r="D16" s="4" t="s">
        <v>147</v>
      </c>
      <c r="E16" s="4" t="s">
        <v>95</v>
      </c>
      <c r="F16" s="4" t="s">
        <v>16</v>
      </c>
      <c r="G16" s="4" t="s">
        <v>148</v>
      </c>
      <c r="H16" s="4" t="s">
        <v>149</v>
      </c>
      <c r="I16" s="4" t="s">
        <v>98</v>
      </c>
      <c r="J16" s="4" t="s">
        <v>99</v>
      </c>
      <c r="K16" s="4" t="s">
        <v>100</v>
      </c>
      <c r="L16" s="30" t="n">
        <v>30752</v>
      </c>
      <c r="M16" s="4" t="s">
        <v>132</v>
      </c>
      <c r="N16" s="4" t="s">
        <v>102</v>
      </c>
      <c r="O16" s="4" t="n">
        <v>0</v>
      </c>
      <c r="P16" s="4" t="n">
        <v>0</v>
      </c>
      <c r="Q16" s="4" t="n">
        <v>63</v>
      </c>
      <c r="R16" s="4" t="s">
        <v>17</v>
      </c>
      <c r="S16" s="4" t="s">
        <v>18</v>
      </c>
    </row>
    <row r="17" customFormat="false" ht="15" hidden="false" customHeight="false" outlineLevel="0" collapsed="false">
      <c r="A17" s="11" t="s">
        <v>13</v>
      </c>
      <c r="B17" s="11" t="s">
        <v>34</v>
      </c>
      <c r="C17" s="11" t="s">
        <v>15</v>
      </c>
      <c r="D17" s="11" t="s">
        <v>150</v>
      </c>
      <c r="E17" s="11" t="s">
        <v>95</v>
      </c>
      <c r="F17" s="11" t="s">
        <v>16</v>
      </c>
      <c r="G17" s="11" t="s">
        <v>151</v>
      </c>
      <c r="H17" s="11" t="s">
        <v>152</v>
      </c>
      <c r="I17" s="11" t="s">
        <v>106</v>
      </c>
      <c r="J17" s="11" t="s">
        <v>107</v>
      </c>
      <c r="K17" s="11" t="s">
        <v>100</v>
      </c>
      <c r="L17" s="31" t="n">
        <v>30705</v>
      </c>
      <c r="M17" s="11" t="s">
        <v>153</v>
      </c>
      <c r="N17" s="11" t="s">
        <v>102</v>
      </c>
      <c r="O17" s="11" t="n">
        <v>0</v>
      </c>
      <c r="P17" s="11" t="n">
        <v>0</v>
      </c>
      <c r="Q17" s="11" t="n">
        <v>54</v>
      </c>
      <c r="R17" s="11" t="s">
        <v>17</v>
      </c>
      <c r="S17" s="11" t="s">
        <v>18</v>
      </c>
    </row>
    <row r="18" customFormat="false" ht="15" hidden="false" customHeight="false" outlineLevel="0" collapsed="false">
      <c r="A18" s="4" t="s">
        <v>13</v>
      </c>
      <c r="B18" s="4" t="s">
        <v>35</v>
      </c>
      <c r="C18" s="4" t="s">
        <v>15</v>
      </c>
      <c r="D18" s="4" t="s">
        <v>154</v>
      </c>
      <c r="E18" s="4" t="s">
        <v>95</v>
      </c>
      <c r="F18" s="4" t="s">
        <v>16</v>
      </c>
      <c r="G18" s="4" t="s">
        <v>155</v>
      </c>
      <c r="H18" s="4" t="s">
        <v>156</v>
      </c>
      <c r="I18" s="4" t="s">
        <v>98</v>
      </c>
      <c r="J18" s="4" t="s">
        <v>107</v>
      </c>
      <c r="K18" s="4" t="s">
        <v>100</v>
      </c>
      <c r="L18" s="30" t="n">
        <v>30711</v>
      </c>
      <c r="M18" s="4" t="s">
        <v>101</v>
      </c>
      <c r="N18" s="4" t="s">
        <v>102</v>
      </c>
      <c r="O18" s="4" t="n">
        <v>0</v>
      </c>
      <c r="P18" s="4" t="n">
        <v>0</v>
      </c>
      <c r="Q18" s="4" t="n">
        <v>73</v>
      </c>
      <c r="R18" s="4" t="s">
        <v>17</v>
      </c>
      <c r="S18" s="4" t="s">
        <v>18</v>
      </c>
    </row>
    <row r="19" customFormat="false" ht="15" hidden="false" customHeight="false" outlineLevel="0" collapsed="false">
      <c r="A19" s="11" t="s">
        <v>13</v>
      </c>
      <c r="B19" s="11" t="s">
        <v>36</v>
      </c>
      <c r="C19" s="11" t="s">
        <v>15</v>
      </c>
      <c r="D19" s="11" t="s">
        <v>157</v>
      </c>
      <c r="E19" s="11" t="s">
        <v>95</v>
      </c>
      <c r="F19" s="11" t="s">
        <v>16</v>
      </c>
      <c r="G19" s="11" t="s">
        <v>158</v>
      </c>
      <c r="H19" s="11" t="s">
        <v>159</v>
      </c>
      <c r="I19" s="11" t="s">
        <v>106</v>
      </c>
      <c r="J19" s="11" t="s">
        <v>99</v>
      </c>
      <c r="K19" s="11" t="s">
        <v>100</v>
      </c>
      <c r="L19" s="31" t="n">
        <v>30699</v>
      </c>
      <c r="M19" s="11" t="s">
        <v>101</v>
      </c>
      <c r="N19" s="11" t="s">
        <v>102</v>
      </c>
      <c r="O19" s="11" t="n">
        <v>0</v>
      </c>
      <c r="P19" s="11" t="n">
        <v>0</v>
      </c>
      <c r="Q19" s="11" t="n">
        <v>56</v>
      </c>
      <c r="R19" s="11" t="s">
        <v>17</v>
      </c>
      <c r="S19" s="11" t="s">
        <v>18</v>
      </c>
    </row>
    <row r="20" customFormat="false" ht="15" hidden="false" customHeight="false" outlineLevel="0" collapsed="false">
      <c r="A20" s="4" t="s">
        <v>13</v>
      </c>
      <c r="B20" s="4" t="s">
        <v>37</v>
      </c>
      <c r="C20" s="4" t="s">
        <v>15</v>
      </c>
      <c r="D20" s="4" t="s">
        <v>160</v>
      </c>
      <c r="E20" s="4" t="s">
        <v>95</v>
      </c>
      <c r="F20" s="4" t="s">
        <v>16</v>
      </c>
      <c r="G20" s="4" t="s">
        <v>161</v>
      </c>
      <c r="H20" s="4" t="s">
        <v>162</v>
      </c>
      <c r="I20" s="4" t="s">
        <v>106</v>
      </c>
      <c r="J20" s="4" t="s">
        <v>107</v>
      </c>
      <c r="K20" s="4" t="s">
        <v>100</v>
      </c>
      <c r="L20" s="30" t="n">
        <v>30699</v>
      </c>
      <c r="M20" s="4" t="s">
        <v>101</v>
      </c>
      <c r="N20" s="4" t="s">
        <v>102</v>
      </c>
      <c r="O20" s="4" t="n">
        <v>0</v>
      </c>
      <c r="P20" s="4" t="n">
        <v>0</v>
      </c>
      <c r="Q20" s="4" t="n">
        <v>48</v>
      </c>
      <c r="R20" s="4" t="s">
        <v>17</v>
      </c>
      <c r="S20" s="4" t="s">
        <v>18</v>
      </c>
    </row>
    <row r="21" customFormat="false" ht="15" hidden="false" customHeight="false" outlineLevel="0" collapsed="false">
      <c r="A21" s="11" t="s">
        <v>13</v>
      </c>
      <c r="B21" s="11" t="s">
        <v>38</v>
      </c>
      <c r="C21" s="11" t="s">
        <v>15</v>
      </c>
      <c r="D21" s="11" t="s">
        <v>163</v>
      </c>
      <c r="E21" s="11" t="s">
        <v>95</v>
      </c>
      <c r="F21" s="11" t="s">
        <v>16</v>
      </c>
      <c r="G21" s="11" t="s">
        <v>164</v>
      </c>
      <c r="H21" s="11" t="s">
        <v>165</v>
      </c>
      <c r="I21" s="11" t="s">
        <v>106</v>
      </c>
      <c r="J21" s="11" t="s">
        <v>107</v>
      </c>
      <c r="K21" s="11" t="s">
        <v>100</v>
      </c>
      <c r="L21" s="31" t="n">
        <v>30699</v>
      </c>
      <c r="M21" s="11" t="s">
        <v>101</v>
      </c>
      <c r="N21" s="11" t="s">
        <v>102</v>
      </c>
      <c r="O21" s="11" t="n">
        <v>0</v>
      </c>
      <c r="P21" s="11" t="n">
        <v>0</v>
      </c>
      <c r="Q21" s="11" t="n">
        <v>48</v>
      </c>
      <c r="R21" s="11" t="s">
        <v>17</v>
      </c>
      <c r="S21" s="11" t="s">
        <v>18</v>
      </c>
    </row>
    <row r="22" customFormat="false" ht="15" hidden="false" customHeight="false" outlineLevel="0" collapsed="false">
      <c r="A22" s="4" t="s">
        <v>13</v>
      </c>
      <c r="B22" s="4" t="s">
        <v>39</v>
      </c>
      <c r="C22" s="4" t="s">
        <v>15</v>
      </c>
      <c r="D22" s="4" t="s">
        <v>166</v>
      </c>
      <c r="E22" s="4" t="s">
        <v>95</v>
      </c>
      <c r="F22" s="4" t="s">
        <v>16</v>
      </c>
      <c r="G22" s="4" t="s">
        <v>167</v>
      </c>
      <c r="H22" s="4" t="s">
        <v>168</v>
      </c>
      <c r="I22" s="4" t="s">
        <v>98</v>
      </c>
      <c r="J22" s="4" t="s">
        <v>107</v>
      </c>
      <c r="K22" s="4" t="s">
        <v>100</v>
      </c>
      <c r="L22" s="30" t="n">
        <v>30746</v>
      </c>
      <c r="M22" s="4" t="s">
        <v>101</v>
      </c>
      <c r="N22" s="4" t="s">
        <v>102</v>
      </c>
      <c r="O22" s="4" t="n">
        <v>0</v>
      </c>
      <c r="P22" s="4" t="n">
        <v>0</v>
      </c>
      <c r="Q22" s="4" t="n">
        <v>57</v>
      </c>
      <c r="R22" s="4" t="s">
        <v>17</v>
      </c>
      <c r="S22" s="4" t="s">
        <v>18</v>
      </c>
    </row>
    <row r="23" customFormat="false" ht="15" hidden="false" customHeight="false" outlineLevel="0" collapsed="false">
      <c r="A23" s="11" t="s">
        <v>13</v>
      </c>
      <c r="B23" s="11" t="s">
        <v>40</v>
      </c>
      <c r="C23" s="11" t="s">
        <v>15</v>
      </c>
      <c r="D23" s="11" t="s">
        <v>169</v>
      </c>
      <c r="E23" s="11" t="s">
        <v>95</v>
      </c>
      <c r="F23" s="11" t="s">
        <v>16</v>
      </c>
      <c r="G23" s="11" t="s">
        <v>170</v>
      </c>
      <c r="H23" s="11" t="s">
        <v>171</v>
      </c>
      <c r="I23" s="11" t="s">
        <v>106</v>
      </c>
      <c r="J23" s="11" t="s">
        <v>99</v>
      </c>
      <c r="K23" s="11" t="s">
        <v>100</v>
      </c>
      <c r="L23" s="31" t="n">
        <v>30728</v>
      </c>
      <c r="M23" s="11" t="s">
        <v>101</v>
      </c>
      <c r="N23" s="11" t="s">
        <v>102</v>
      </c>
      <c r="O23" s="11" t="n">
        <v>0</v>
      </c>
      <c r="P23" s="11" t="n">
        <v>0</v>
      </c>
      <c r="Q23" s="11" t="n">
        <v>118</v>
      </c>
      <c r="R23" s="11" t="s">
        <v>17</v>
      </c>
      <c r="S23" s="11" t="s">
        <v>18</v>
      </c>
    </row>
    <row r="24" customFormat="false" ht="15" hidden="false" customHeight="false" outlineLevel="0" collapsed="false">
      <c r="A24" s="4" t="s">
        <v>13</v>
      </c>
      <c r="B24" s="4" t="s">
        <v>41</v>
      </c>
      <c r="C24" s="4" t="s">
        <v>15</v>
      </c>
      <c r="D24" s="4" t="s">
        <v>172</v>
      </c>
      <c r="E24" s="4" t="s">
        <v>95</v>
      </c>
      <c r="F24" s="4" t="s">
        <v>16</v>
      </c>
      <c r="G24" s="4" t="s">
        <v>173</v>
      </c>
      <c r="H24" s="4" t="s">
        <v>174</v>
      </c>
      <c r="I24" s="4" t="s">
        <v>139</v>
      </c>
      <c r="J24" s="4" t="s">
        <v>107</v>
      </c>
      <c r="K24" s="4" t="s">
        <v>100</v>
      </c>
      <c r="L24" s="30" t="n">
        <v>22487</v>
      </c>
      <c r="M24" s="4" t="s">
        <v>101</v>
      </c>
      <c r="N24" s="4" t="s">
        <v>102</v>
      </c>
      <c r="O24" s="4" t="n">
        <v>0</v>
      </c>
      <c r="P24" s="4" t="n">
        <v>0</v>
      </c>
      <c r="Q24" s="4" t="n">
        <v>86</v>
      </c>
      <c r="R24" s="4" t="s">
        <v>17</v>
      </c>
      <c r="S24" s="4" t="s">
        <v>18</v>
      </c>
    </row>
    <row r="25" customFormat="false" ht="15" hidden="false" customHeight="false" outlineLevel="0" collapsed="false">
      <c r="A25" s="11" t="s">
        <v>42</v>
      </c>
      <c r="B25" s="11" t="s">
        <v>14</v>
      </c>
      <c r="C25" s="11" t="s">
        <v>43</v>
      </c>
      <c r="D25" s="11" t="s">
        <v>175</v>
      </c>
      <c r="E25" s="11" t="s">
        <v>176</v>
      </c>
      <c r="F25" s="11" t="s">
        <v>16</v>
      </c>
      <c r="G25" s="11" t="s">
        <v>177</v>
      </c>
      <c r="H25" s="11" t="s">
        <v>165</v>
      </c>
      <c r="I25" s="11" t="s">
        <v>178</v>
      </c>
      <c r="J25" s="11" t="s">
        <v>179</v>
      </c>
      <c r="K25" s="11" t="s">
        <v>100</v>
      </c>
      <c r="L25" s="31" t="n">
        <v>54443</v>
      </c>
      <c r="M25" s="11" t="s">
        <v>180</v>
      </c>
      <c r="N25" s="11" t="s">
        <v>102</v>
      </c>
      <c r="O25" s="11" t="n">
        <v>0</v>
      </c>
      <c r="P25" s="11" t="n">
        <v>0</v>
      </c>
      <c r="Q25" s="11" t="n">
        <v>16</v>
      </c>
      <c r="R25" s="11" t="s">
        <v>17</v>
      </c>
      <c r="S25" s="11" t="s">
        <v>44</v>
      </c>
    </row>
    <row r="26" customFormat="false" ht="15" hidden="false" customHeight="false" outlineLevel="0" collapsed="false">
      <c r="A26" s="4" t="s">
        <v>42</v>
      </c>
      <c r="B26" s="4" t="s">
        <v>20</v>
      </c>
      <c r="C26" s="4" t="s">
        <v>43</v>
      </c>
      <c r="D26" s="4" t="s">
        <v>181</v>
      </c>
      <c r="E26" s="4" t="s">
        <v>176</v>
      </c>
      <c r="F26" s="4" t="s">
        <v>16</v>
      </c>
      <c r="G26" s="4" t="s">
        <v>182</v>
      </c>
      <c r="H26" s="4" t="s">
        <v>183</v>
      </c>
      <c r="I26" s="4" t="s">
        <v>178</v>
      </c>
      <c r="J26" s="4" t="s">
        <v>179</v>
      </c>
      <c r="K26" s="4" t="s">
        <v>100</v>
      </c>
      <c r="L26" s="30" t="n">
        <v>57409</v>
      </c>
      <c r="M26" s="4" t="s">
        <v>180</v>
      </c>
      <c r="N26" s="4" t="s">
        <v>102</v>
      </c>
      <c r="O26" s="4" t="n">
        <v>0</v>
      </c>
      <c r="P26" s="4" t="n">
        <v>0</v>
      </c>
      <c r="Q26" s="4" t="n">
        <v>8</v>
      </c>
      <c r="R26" s="4" t="s">
        <v>17</v>
      </c>
      <c r="S26" s="4" t="s">
        <v>44</v>
      </c>
    </row>
    <row r="27" customFormat="false" ht="15" hidden="false" customHeight="false" outlineLevel="0" collapsed="false">
      <c r="A27" s="11" t="s">
        <v>42</v>
      </c>
      <c r="B27" s="11" t="s">
        <v>21</v>
      </c>
      <c r="C27" s="11" t="s">
        <v>43</v>
      </c>
      <c r="D27" s="11" t="s">
        <v>184</v>
      </c>
      <c r="E27" s="11" t="s">
        <v>176</v>
      </c>
      <c r="F27" s="11" t="s">
        <v>16</v>
      </c>
      <c r="G27" s="11" t="s">
        <v>185</v>
      </c>
      <c r="H27" s="11" t="s">
        <v>186</v>
      </c>
      <c r="I27" s="11" t="s">
        <v>178</v>
      </c>
      <c r="J27" s="11" t="s">
        <v>187</v>
      </c>
      <c r="K27" s="11" t="s">
        <v>100</v>
      </c>
      <c r="L27" s="31" t="n">
        <v>54261</v>
      </c>
      <c r="M27" s="11" t="s">
        <v>180</v>
      </c>
      <c r="N27" s="11" t="s">
        <v>102</v>
      </c>
      <c r="O27" s="11" t="n">
        <v>0</v>
      </c>
      <c r="P27" s="11" t="n">
        <v>0</v>
      </c>
      <c r="Q27" s="11" t="n">
        <v>5</v>
      </c>
      <c r="R27" s="11" t="s">
        <v>17</v>
      </c>
      <c r="S27" s="11" t="s">
        <v>44</v>
      </c>
    </row>
    <row r="28" customFormat="false" ht="15" hidden="false" customHeight="false" outlineLevel="0" collapsed="false">
      <c r="A28" s="4" t="s">
        <v>42</v>
      </c>
      <c r="B28" s="4" t="s">
        <v>22</v>
      </c>
      <c r="C28" s="4" t="s">
        <v>15</v>
      </c>
      <c r="D28" s="4" t="s">
        <v>188</v>
      </c>
      <c r="E28" s="4" t="s">
        <v>95</v>
      </c>
      <c r="F28" s="4" t="s">
        <v>16</v>
      </c>
      <c r="G28" s="4" t="s">
        <v>189</v>
      </c>
      <c r="H28" s="4" t="s">
        <v>190</v>
      </c>
      <c r="I28" s="4" t="s">
        <v>98</v>
      </c>
      <c r="J28" s="4" t="s">
        <v>107</v>
      </c>
      <c r="K28" s="4" t="s">
        <v>100</v>
      </c>
      <c r="L28" s="30" t="n">
        <v>30823</v>
      </c>
      <c r="M28" s="4" t="s">
        <v>101</v>
      </c>
      <c r="N28" s="4" t="s">
        <v>102</v>
      </c>
      <c r="O28" s="4" t="n">
        <v>0</v>
      </c>
      <c r="P28" s="4" t="n">
        <v>0</v>
      </c>
      <c r="Q28" s="4" t="n">
        <v>61</v>
      </c>
      <c r="R28" s="4" t="s">
        <v>17</v>
      </c>
      <c r="S28" s="4" t="s">
        <v>18</v>
      </c>
    </row>
    <row r="29" customFormat="false" ht="15" hidden="false" customHeight="false" outlineLevel="0" collapsed="false">
      <c r="A29" s="11" t="s">
        <v>42</v>
      </c>
      <c r="B29" s="11" t="s">
        <v>23</v>
      </c>
      <c r="C29" s="11" t="s">
        <v>15</v>
      </c>
      <c r="D29" s="11" t="s">
        <v>191</v>
      </c>
      <c r="E29" s="11" t="s">
        <v>95</v>
      </c>
      <c r="F29" s="11" t="s">
        <v>16</v>
      </c>
      <c r="G29" s="11" t="s">
        <v>192</v>
      </c>
      <c r="H29" s="11" t="s">
        <v>193</v>
      </c>
      <c r="I29" s="11" t="s">
        <v>98</v>
      </c>
      <c r="J29" s="11" t="s">
        <v>99</v>
      </c>
      <c r="K29" s="11" t="s">
        <v>100</v>
      </c>
      <c r="L29" s="31" t="n">
        <v>30127</v>
      </c>
      <c r="M29" s="11" t="s">
        <v>101</v>
      </c>
      <c r="N29" s="11" t="s">
        <v>102</v>
      </c>
      <c r="O29" s="11" t="n">
        <v>0</v>
      </c>
      <c r="P29" s="11" t="n">
        <v>0</v>
      </c>
      <c r="Q29" s="11" t="n">
        <v>43</v>
      </c>
      <c r="R29" s="11" t="s">
        <v>17</v>
      </c>
      <c r="S29" s="11" t="s">
        <v>18</v>
      </c>
    </row>
    <row r="30" customFormat="false" ht="15" hidden="false" customHeight="false" outlineLevel="0" collapsed="false">
      <c r="A30" s="4" t="s">
        <v>42</v>
      </c>
      <c r="B30" s="4" t="s">
        <v>24</v>
      </c>
      <c r="C30" s="4" t="s">
        <v>43</v>
      </c>
      <c r="D30" s="4" t="s">
        <v>194</v>
      </c>
      <c r="E30" s="4" t="s">
        <v>176</v>
      </c>
      <c r="F30" s="4" t="s">
        <v>16</v>
      </c>
      <c r="G30" s="4" t="s">
        <v>195</v>
      </c>
      <c r="H30" s="4" t="s">
        <v>196</v>
      </c>
      <c r="I30" s="4" t="s">
        <v>178</v>
      </c>
      <c r="J30" s="4" t="s">
        <v>197</v>
      </c>
      <c r="K30" s="4" t="s">
        <v>100</v>
      </c>
      <c r="L30" s="30" t="n">
        <v>61847</v>
      </c>
      <c r="M30" s="4" t="s">
        <v>180</v>
      </c>
      <c r="N30" s="4" t="s">
        <v>102</v>
      </c>
      <c r="O30" s="4" t="n">
        <v>0</v>
      </c>
      <c r="P30" s="4" t="n">
        <v>0</v>
      </c>
      <c r="Q30" s="4" t="n">
        <v>9</v>
      </c>
      <c r="R30" s="4" t="s">
        <v>17</v>
      </c>
      <c r="S30" s="4" t="s">
        <v>44</v>
      </c>
    </row>
    <row r="31" customFormat="false" ht="15" hidden="false" customHeight="false" outlineLevel="0" collapsed="false">
      <c r="A31" s="11" t="s">
        <v>42</v>
      </c>
      <c r="B31" s="11" t="s">
        <v>25</v>
      </c>
      <c r="C31" s="11" t="s">
        <v>43</v>
      </c>
      <c r="D31" s="11" t="s">
        <v>198</v>
      </c>
      <c r="E31" s="11" t="s">
        <v>176</v>
      </c>
      <c r="F31" s="11" t="s">
        <v>16</v>
      </c>
      <c r="G31" s="11" t="s">
        <v>199</v>
      </c>
      <c r="H31" s="11" t="s">
        <v>200</v>
      </c>
      <c r="I31" s="11" t="s">
        <v>178</v>
      </c>
      <c r="J31" s="11" t="s">
        <v>179</v>
      </c>
      <c r="K31" s="11" t="s">
        <v>100</v>
      </c>
      <c r="L31" s="31" t="n">
        <v>61850</v>
      </c>
      <c r="M31" s="11" t="s">
        <v>180</v>
      </c>
      <c r="N31" s="11" t="s">
        <v>102</v>
      </c>
      <c r="O31" s="11" t="n">
        <v>0</v>
      </c>
      <c r="P31" s="11" t="n">
        <v>0</v>
      </c>
      <c r="Q31" s="11" t="n">
        <v>15</v>
      </c>
      <c r="R31" s="11" t="s">
        <v>17</v>
      </c>
      <c r="S31" s="11" t="s">
        <v>44</v>
      </c>
    </row>
    <row r="32" customFormat="false" ht="15" hidden="false" customHeight="false" outlineLevel="0" collapsed="false">
      <c r="A32" s="4" t="s">
        <v>42</v>
      </c>
      <c r="B32" s="4" t="s">
        <v>26</v>
      </c>
      <c r="C32" s="4" t="s">
        <v>43</v>
      </c>
      <c r="D32" s="4" t="s">
        <v>201</v>
      </c>
      <c r="E32" s="4" t="s">
        <v>176</v>
      </c>
      <c r="F32" s="4" t="s">
        <v>16</v>
      </c>
      <c r="G32" s="4" t="s">
        <v>202</v>
      </c>
      <c r="H32" s="4" t="s">
        <v>203</v>
      </c>
      <c r="I32" s="4" t="s">
        <v>178</v>
      </c>
      <c r="J32" s="4" t="s">
        <v>204</v>
      </c>
      <c r="K32" s="4" t="s">
        <v>100</v>
      </c>
      <c r="L32" s="30" t="n">
        <v>61845</v>
      </c>
      <c r="M32" s="4" t="s">
        <v>128</v>
      </c>
      <c r="N32" s="4" t="s">
        <v>102</v>
      </c>
      <c r="O32" s="4" t="n">
        <v>0</v>
      </c>
      <c r="P32" s="4" t="n">
        <v>0</v>
      </c>
      <c r="Q32" s="4" t="n">
        <v>7</v>
      </c>
      <c r="R32" s="4" t="s">
        <v>17</v>
      </c>
      <c r="S32" s="4" t="s">
        <v>44</v>
      </c>
    </row>
    <row r="33" customFormat="false" ht="15" hidden="false" customHeight="false" outlineLevel="0" collapsed="false">
      <c r="A33" s="11" t="s">
        <v>42</v>
      </c>
      <c r="B33" s="11" t="s">
        <v>27</v>
      </c>
      <c r="C33" s="11" t="s">
        <v>15</v>
      </c>
      <c r="D33" s="11" t="s">
        <v>205</v>
      </c>
      <c r="E33" s="11" t="s">
        <v>95</v>
      </c>
      <c r="F33" s="11" t="s">
        <v>16</v>
      </c>
      <c r="G33" s="11" t="s">
        <v>206</v>
      </c>
      <c r="H33" s="11" t="s">
        <v>207</v>
      </c>
      <c r="I33" s="11" t="s">
        <v>139</v>
      </c>
      <c r="J33" s="11" t="s">
        <v>99</v>
      </c>
      <c r="K33" s="11" t="s">
        <v>100</v>
      </c>
      <c r="L33" s="31" t="n">
        <v>30567</v>
      </c>
      <c r="M33" s="11" t="s">
        <v>128</v>
      </c>
      <c r="N33" s="11" t="s">
        <v>102</v>
      </c>
      <c r="O33" s="11" t="n">
        <v>0</v>
      </c>
      <c r="P33" s="11" t="n">
        <v>0</v>
      </c>
      <c r="Q33" s="11" t="n">
        <v>20</v>
      </c>
      <c r="R33" s="11" t="s">
        <v>17</v>
      </c>
      <c r="S33" s="11" t="s">
        <v>18</v>
      </c>
    </row>
    <row r="34" customFormat="false" ht="15" hidden="false" customHeight="false" outlineLevel="0" collapsed="false">
      <c r="A34" s="4" t="s">
        <v>42</v>
      </c>
      <c r="B34" s="4" t="s">
        <v>28</v>
      </c>
      <c r="C34" s="4" t="s">
        <v>15</v>
      </c>
      <c r="D34" s="4" t="s">
        <v>208</v>
      </c>
      <c r="E34" s="4" t="s">
        <v>95</v>
      </c>
      <c r="F34" s="4" t="s">
        <v>16</v>
      </c>
      <c r="G34" s="4" t="s">
        <v>209</v>
      </c>
      <c r="H34" s="4" t="s">
        <v>210</v>
      </c>
      <c r="I34" s="4" t="s">
        <v>178</v>
      </c>
      <c r="J34" s="4" t="s">
        <v>107</v>
      </c>
      <c r="K34" s="4" t="s">
        <v>100</v>
      </c>
      <c r="L34" s="30" t="n">
        <v>30893</v>
      </c>
      <c r="M34" s="4" t="s">
        <v>132</v>
      </c>
      <c r="N34" s="4" t="s">
        <v>102</v>
      </c>
      <c r="O34" s="4" t="n">
        <v>0</v>
      </c>
      <c r="P34" s="4" t="n">
        <v>0</v>
      </c>
      <c r="Q34" s="4" t="n">
        <v>44</v>
      </c>
      <c r="R34" s="4" t="s">
        <v>17</v>
      </c>
      <c r="S34" s="4" t="s">
        <v>18</v>
      </c>
    </row>
    <row r="35" customFormat="false" ht="15" hidden="false" customHeight="false" outlineLevel="0" collapsed="false">
      <c r="A35" s="11" t="s">
        <v>42</v>
      </c>
      <c r="B35" s="11" t="s">
        <v>29</v>
      </c>
      <c r="C35" s="11" t="s">
        <v>15</v>
      </c>
      <c r="D35" s="11" t="s">
        <v>211</v>
      </c>
      <c r="E35" s="11" t="s">
        <v>95</v>
      </c>
      <c r="F35" s="11" t="s">
        <v>16</v>
      </c>
      <c r="G35" s="11" t="s">
        <v>212</v>
      </c>
      <c r="H35" s="11" t="s">
        <v>213</v>
      </c>
      <c r="I35" s="11" t="s">
        <v>98</v>
      </c>
      <c r="J35" s="11" t="s">
        <v>107</v>
      </c>
      <c r="K35" s="11" t="s">
        <v>100</v>
      </c>
      <c r="L35" s="31" t="n">
        <v>32386</v>
      </c>
      <c r="M35" s="11" t="s">
        <v>101</v>
      </c>
      <c r="N35" s="11" t="s">
        <v>102</v>
      </c>
      <c r="O35" s="11" t="n">
        <v>0</v>
      </c>
      <c r="P35" s="11" t="n">
        <v>0</v>
      </c>
      <c r="Q35" s="11" t="n">
        <v>131</v>
      </c>
      <c r="R35" s="11" t="s">
        <v>17</v>
      </c>
      <c r="S35" s="11" t="s">
        <v>18</v>
      </c>
    </row>
    <row r="36" customFormat="false" ht="15" hidden="false" customHeight="false" outlineLevel="0" collapsed="false">
      <c r="A36" s="4" t="s">
        <v>42</v>
      </c>
      <c r="B36" s="4" t="s">
        <v>30</v>
      </c>
      <c r="C36" s="4" t="s">
        <v>15</v>
      </c>
      <c r="D36" s="4" t="s">
        <v>214</v>
      </c>
      <c r="E36" s="4" t="s">
        <v>95</v>
      </c>
      <c r="F36" s="4" t="s">
        <v>16</v>
      </c>
      <c r="G36" s="4" t="s">
        <v>215</v>
      </c>
      <c r="H36" s="4" t="s">
        <v>216</v>
      </c>
      <c r="I36" s="4" t="s">
        <v>98</v>
      </c>
      <c r="J36" s="4" t="s">
        <v>107</v>
      </c>
      <c r="K36" s="4" t="s">
        <v>100</v>
      </c>
      <c r="L36" s="30" t="n">
        <v>32382</v>
      </c>
      <c r="M36" s="4" t="s">
        <v>101</v>
      </c>
      <c r="N36" s="4" t="s">
        <v>102</v>
      </c>
      <c r="O36" s="4" t="n">
        <v>0</v>
      </c>
      <c r="P36" s="4" t="n">
        <v>0</v>
      </c>
      <c r="Q36" s="4" t="n">
        <v>152</v>
      </c>
      <c r="R36" s="4" t="s">
        <v>17</v>
      </c>
      <c r="S36" s="4" t="s">
        <v>18</v>
      </c>
    </row>
    <row r="37" customFormat="false" ht="15" hidden="false" customHeight="false" outlineLevel="0" collapsed="false">
      <c r="A37" s="11" t="s">
        <v>42</v>
      </c>
      <c r="B37" s="11" t="s">
        <v>31</v>
      </c>
      <c r="C37" s="11" t="s">
        <v>15</v>
      </c>
      <c r="D37" s="11" t="s">
        <v>217</v>
      </c>
      <c r="E37" s="11" t="s">
        <v>95</v>
      </c>
      <c r="F37" s="11" t="s">
        <v>16</v>
      </c>
      <c r="G37" s="11" t="s">
        <v>218</v>
      </c>
      <c r="H37" s="11" t="s">
        <v>219</v>
      </c>
      <c r="I37" s="11" t="s">
        <v>98</v>
      </c>
      <c r="J37" s="11" t="s">
        <v>107</v>
      </c>
      <c r="K37" s="11" t="s">
        <v>100</v>
      </c>
      <c r="L37" s="31" t="n">
        <v>30126</v>
      </c>
      <c r="M37" s="11" t="s">
        <v>101</v>
      </c>
      <c r="N37" s="11" t="s">
        <v>102</v>
      </c>
      <c r="O37" s="11" t="n">
        <v>0</v>
      </c>
      <c r="P37" s="11" t="n">
        <v>0</v>
      </c>
      <c r="Q37" s="11" t="n">
        <v>40</v>
      </c>
      <c r="R37" s="11" t="s">
        <v>17</v>
      </c>
      <c r="S37" s="11" t="s">
        <v>18</v>
      </c>
    </row>
    <row r="38" customFormat="false" ht="15" hidden="false" customHeight="false" outlineLevel="0" collapsed="false">
      <c r="A38" s="4" t="s">
        <v>42</v>
      </c>
      <c r="B38" s="4" t="s">
        <v>32</v>
      </c>
      <c r="C38" s="4" t="s">
        <v>15</v>
      </c>
      <c r="D38" s="4" t="s">
        <v>220</v>
      </c>
      <c r="E38" s="4" t="s">
        <v>95</v>
      </c>
      <c r="F38" s="4" t="s">
        <v>16</v>
      </c>
      <c r="G38" s="4" t="s">
        <v>221</v>
      </c>
      <c r="H38" s="4" t="s">
        <v>222</v>
      </c>
      <c r="I38" s="4" t="s">
        <v>106</v>
      </c>
      <c r="J38" s="4" t="s">
        <v>107</v>
      </c>
      <c r="K38" s="4" t="s">
        <v>100</v>
      </c>
      <c r="L38" s="30" t="n">
        <v>30919</v>
      </c>
      <c r="M38" s="4" t="s">
        <v>101</v>
      </c>
      <c r="N38" s="4" t="s">
        <v>102</v>
      </c>
      <c r="O38" s="4" t="n">
        <v>0</v>
      </c>
      <c r="P38" s="4" t="n">
        <v>0</v>
      </c>
      <c r="Q38" s="4" t="n">
        <v>67</v>
      </c>
      <c r="R38" s="4" t="s">
        <v>17</v>
      </c>
      <c r="S38" s="4" t="s">
        <v>18</v>
      </c>
    </row>
    <row r="39" customFormat="false" ht="15" hidden="false" customHeight="false" outlineLevel="0" collapsed="false">
      <c r="A39" s="11" t="s">
        <v>42</v>
      </c>
      <c r="B39" s="11" t="s">
        <v>33</v>
      </c>
      <c r="C39" s="11" t="s">
        <v>15</v>
      </c>
      <c r="D39" s="11" t="s">
        <v>223</v>
      </c>
      <c r="E39" s="11" t="s">
        <v>95</v>
      </c>
      <c r="F39" s="11" t="s">
        <v>16</v>
      </c>
      <c r="G39" s="11" t="s">
        <v>224</v>
      </c>
      <c r="H39" s="11" t="s">
        <v>193</v>
      </c>
      <c r="I39" s="11" t="s">
        <v>106</v>
      </c>
      <c r="J39" s="11" t="s">
        <v>107</v>
      </c>
      <c r="K39" s="11" t="s">
        <v>100</v>
      </c>
      <c r="L39" s="31" t="n">
        <v>30834</v>
      </c>
      <c r="M39" s="11" t="s">
        <v>132</v>
      </c>
      <c r="N39" s="11" t="s">
        <v>102</v>
      </c>
      <c r="O39" s="11" t="n">
        <v>0</v>
      </c>
      <c r="P39" s="11" t="n">
        <v>0</v>
      </c>
      <c r="Q39" s="11" t="n">
        <v>74</v>
      </c>
      <c r="R39" s="11" t="s">
        <v>17</v>
      </c>
      <c r="S39" s="11" t="s">
        <v>18</v>
      </c>
    </row>
    <row r="40" customFormat="false" ht="15" hidden="false" customHeight="false" outlineLevel="0" collapsed="false">
      <c r="A40" s="4" t="s">
        <v>42</v>
      </c>
      <c r="B40" s="4" t="s">
        <v>34</v>
      </c>
      <c r="C40" s="4" t="s">
        <v>43</v>
      </c>
      <c r="D40" s="4" t="s">
        <v>225</v>
      </c>
      <c r="E40" s="4" t="s">
        <v>176</v>
      </c>
      <c r="F40" s="4" t="s">
        <v>16</v>
      </c>
      <c r="G40" s="4" t="s">
        <v>226</v>
      </c>
      <c r="H40" s="4" t="s">
        <v>227</v>
      </c>
      <c r="I40" s="4" t="s">
        <v>178</v>
      </c>
      <c r="J40" s="4" t="s">
        <v>187</v>
      </c>
      <c r="K40" s="4" t="s">
        <v>100</v>
      </c>
      <c r="L40" s="30" t="n">
        <v>47336</v>
      </c>
      <c r="M40" s="4" t="s">
        <v>153</v>
      </c>
      <c r="N40" s="4" t="s">
        <v>102</v>
      </c>
      <c r="O40" s="4" t="n">
        <v>0</v>
      </c>
      <c r="P40" s="4" t="n">
        <v>0</v>
      </c>
      <c r="Q40" s="4" t="n">
        <v>6</v>
      </c>
      <c r="R40" s="4" t="s">
        <v>17</v>
      </c>
      <c r="S40" s="4" t="s">
        <v>44</v>
      </c>
    </row>
    <row r="41" customFormat="false" ht="15" hidden="false" customHeight="false" outlineLevel="0" collapsed="false">
      <c r="A41" s="11" t="s">
        <v>42</v>
      </c>
      <c r="B41" s="11" t="s">
        <v>35</v>
      </c>
      <c r="C41" s="11" t="s">
        <v>15</v>
      </c>
      <c r="D41" s="11" t="s">
        <v>228</v>
      </c>
      <c r="E41" s="11" t="s">
        <v>95</v>
      </c>
      <c r="F41" s="11" t="s">
        <v>16</v>
      </c>
      <c r="G41" s="11" t="s">
        <v>229</v>
      </c>
      <c r="H41" s="11" t="s">
        <v>230</v>
      </c>
      <c r="I41" s="11" t="s">
        <v>146</v>
      </c>
      <c r="J41" s="11" t="s">
        <v>107</v>
      </c>
      <c r="K41" s="11" t="s">
        <v>100</v>
      </c>
      <c r="L41" s="31" t="n">
        <v>32321</v>
      </c>
      <c r="M41" s="11" t="s">
        <v>101</v>
      </c>
      <c r="N41" s="11" t="s">
        <v>102</v>
      </c>
      <c r="O41" s="11" t="n">
        <v>0</v>
      </c>
      <c r="P41" s="11" t="n">
        <v>0</v>
      </c>
      <c r="Q41" s="11" t="n">
        <v>72</v>
      </c>
      <c r="R41" s="11" t="s">
        <v>17</v>
      </c>
      <c r="S41" s="11" t="s">
        <v>18</v>
      </c>
    </row>
    <row r="42" customFormat="false" ht="15" hidden="false" customHeight="false" outlineLevel="0" collapsed="false">
      <c r="A42" s="4" t="s">
        <v>42</v>
      </c>
      <c r="B42" s="4" t="s">
        <v>36</v>
      </c>
      <c r="C42" s="4" t="s">
        <v>15</v>
      </c>
      <c r="D42" s="4" t="s">
        <v>231</v>
      </c>
      <c r="E42" s="4" t="s">
        <v>95</v>
      </c>
      <c r="F42" s="4" t="s">
        <v>16</v>
      </c>
      <c r="G42" s="4" t="s">
        <v>232</v>
      </c>
      <c r="H42" s="4" t="s">
        <v>233</v>
      </c>
      <c r="I42" s="4" t="s">
        <v>98</v>
      </c>
      <c r="J42" s="4" t="s">
        <v>107</v>
      </c>
      <c r="K42" s="4" t="s">
        <v>100</v>
      </c>
      <c r="L42" s="30" t="n">
        <v>30176</v>
      </c>
      <c r="M42" s="4" t="s">
        <v>101</v>
      </c>
      <c r="N42" s="4" t="s">
        <v>102</v>
      </c>
      <c r="O42" s="4" t="n">
        <v>0</v>
      </c>
      <c r="P42" s="4" t="n">
        <v>0</v>
      </c>
      <c r="Q42" s="4" t="n">
        <v>47</v>
      </c>
      <c r="R42" s="4" t="s">
        <v>17</v>
      </c>
      <c r="S42" s="4" t="s">
        <v>18</v>
      </c>
    </row>
    <row r="43" customFormat="false" ht="15" hidden="false" customHeight="false" outlineLevel="0" collapsed="false">
      <c r="A43" s="11" t="s">
        <v>42</v>
      </c>
      <c r="B43" s="11" t="s">
        <v>49</v>
      </c>
      <c r="C43" s="11" t="s">
        <v>15</v>
      </c>
      <c r="D43" s="11" t="s">
        <v>234</v>
      </c>
      <c r="E43" s="11" t="s">
        <v>95</v>
      </c>
      <c r="F43" s="11" t="s">
        <v>16</v>
      </c>
      <c r="G43" s="11" t="s">
        <v>235</v>
      </c>
      <c r="H43" s="11" t="s">
        <v>236</v>
      </c>
      <c r="I43" s="11" t="s">
        <v>106</v>
      </c>
      <c r="J43" s="11" t="s">
        <v>99</v>
      </c>
      <c r="K43" s="11" t="s">
        <v>100</v>
      </c>
      <c r="L43" s="31" t="n">
        <v>30128</v>
      </c>
      <c r="M43" s="11" t="s">
        <v>101</v>
      </c>
      <c r="N43" s="11" t="s">
        <v>102</v>
      </c>
      <c r="O43" s="11" t="n">
        <v>0</v>
      </c>
      <c r="P43" s="11" t="n">
        <v>0</v>
      </c>
      <c r="Q43" s="11" t="n">
        <v>45</v>
      </c>
      <c r="R43" s="11" t="s">
        <v>17</v>
      </c>
      <c r="S43" s="11" t="s">
        <v>18</v>
      </c>
    </row>
    <row r="44" customFormat="false" ht="15" hidden="false" customHeight="false" outlineLevel="0" collapsed="false">
      <c r="A44" s="4" t="s">
        <v>42</v>
      </c>
      <c r="B44" s="4" t="s">
        <v>37</v>
      </c>
      <c r="C44" s="4" t="s">
        <v>15</v>
      </c>
      <c r="D44" s="4" t="s">
        <v>237</v>
      </c>
      <c r="E44" s="4" t="s">
        <v>95</v>
      </c>
      <c r="F44" s="4" t="s">
        <v>16</v>
      </c>
      <c r="G44" s="4" t="s">
        <v>227</v>
      </c>
      <c r="H44" s="4" t="s">
        <v>238</v>
      </c>
      <c r="I44" s="4" t="s">
        <v>146</v>
      </c>
      <c r="J44" s="4" t="s">
        <v>107</v>
      </c>
      <c r="K44" s="4" t="s">
        <v>100</v>
      </c>
      <c r="L44" s="30" t="n">
        <v>30833</v>
      </c>
      <c r="M44" s="4" t="s">
        <v>101</v>
      </c>
      <c r="N44" s="4" t="s">
        <v>102</v>
      </c>
      <c r="O44" s="4" t="n">
        <v>0</v>
      </c>
      <c r="P44" s="4" t="n">
        <v>0</v>
      </c>
      <c r="Q44" s="4" t="n">
        <v>71</v>
      </c>
      <c r="R44" s="4" t="s">
        <v>17</v>
      </c>
      <c r="S44" s="4" t="s">
        <v>18</v>
      </c>
    </row>
    <row r="45" customFormat="false" ht="15" hidden="false" customHeight="false" outlineLevel="0" collapsed="false">
      <c r="A45" s="11" t="s">
        <v>42</v>
      </c>
      <c r="B45" s="11" t="s">
        <v>38</v>
      </c>
      <c r="C45" s="11" t="s">
        <v>15</v>
      </c>
      <c r="D45" s="11" t="s">
        <v>239</v>
      </c>
      <c r="E45" s="11" t="s">
        <v>95</v>
      </c>
      <c r="F45" s="11" t="s">
        <v>16</v>
      </c>
      <c r="G45" s="11" t="s">
        <v>221</v>
      </c>
      <c r="H45" s="11" t="s">
        <v>131</v>
      </c>
      <c r="I45" s="11" t="s">
        <v>98</v>
      </c>
      <c r="J45" s="11" t="s">
        <v>107</v>
      </c>
      <c r="K45" s="11" t="s">
        <v>100</v>
      </c>
      <c r="L45" s="31" t="n">
        <v>32348</v>
      </c>
      <c r="M45" s="11" t="s">
        <v>101</v>
      </c>
      <c r="N45" s="11" t="s">
        <v>102</v>
      </c>
      <c r="O45" s="11" t="n">
        <v>0</v>
      </c>
      <c r="P45" s="11" t="n">
        <v>0</v>
      </c>
      <c r="Q45" s="11" t="n">
        <v>152</v>
      </c>
      <c r="R45" s="11" t="s">
        <v>17</v>
      </c>
      <c r="S45" s="11" t="s">
        <v>18</v>
      </c>
    </row>
    <row r="46" customFormat="false" ht="15" hidden="false" customHeight="false" outlineLevel="0" collapsed="false">
      <c r="A46" s="4" t="s">
        <v>42</v>
      </c>
      <c r="B46" s="4" t="s">
        <v>39</v>
      </c>
      <c r="C46" s="4" t="s">
        <v>43</v>
      </c>
      <c r="D46" s="4" t="s">
        <v>240</v>
      </c>
      <c r="E46" s="4" t="s">
        <v>176</v>
      </c>
      <c r="F46" s="4" t="s">
        <v>16</v>
      </c>
      <c r="G46" s="4" t="s">
        <v>241</v>
      </c>
      <c r="H46" s="4" t="s">
        <v>242</v>
      </c>
      <c r="I46" s="4" t="s">
        <v>178</v>
      </c>
      <c r="J46" s="4" t="s">
        <v>243</v>
      </c>
      <c r="K46" s="4" t="s">
        <v>100</v>
      </c>
      <c r="L46" s="30" t="n">
        <v>47315</v>
      </c>
      <c r="M46" s="4" t="s">
        <v>180</v>
      </c>
      <c r="N46" s="4" t="s">
        <v>102</v>
      </c>
      <c r="O46" s="4" t="n">
        <v>0</v>
      </c>
      <c r="P46" s="4" t="n">
        <v>0</v>
      </c>
      <c r="Q46" s="4" t="n">
        <v>13</v>
      </c>
      <c r="R46" s="4" t="s">
        <v>17</v>
      </c>
      <c r="S46" s="4" t="s">
        <v>44</v>
      </c>
    </row>
    <row r="47" customFormat="false" ht="15" hidden="false" customHeight="false" outlineLevel="0" collapsed="false">
      <c r="A47" s="11" t="s">
        <v>42</v>
      </c>
      <c r="B47" s="11" t="s">
        <v>40</v>
      </c>
      <c r="C47" s="11" t="s">
        <v>43</v>
      </c>
      <c r="D47" s="11" t="s">
        <v>244</v>
      </c>
      <c r="E47" s="11" t="s">
        <v>176</v>
      </c>
      <c r="F47" s="11" t="s">
        <v>16</v>
      </c>
      <c r="G47" s="11" t="s">
        <v>245</v>
      </c>
      <c r="H47" s="11" t="s">
        <v>246</v>
      </c>
      <c r="I47" s="11" t="s">
        <v>178</v>
      </c>
      <c r="J47" s="11" t="s">
        <v>247</v>
      </c>
      <c r="K47" s="11" t="s">
        <v>100</v>
      </c>
      <c r="L47" s="31" t="n">
        <v>46523</v>
      </c>
      <c r="M47" s="11" t="s">
        <v>180</v>
      </c>
      <c r="N47" s="11" t="s">
        <v>102</v>
      </c>
      <c r="O47" s="11" t="n">
        <v>0</v>
      </c>
      <c r="P47" s="11" t="n">
        <v>0</v>
      </c>
      <c r="Q47" s="11" t="n">
        <v>5</v>
      </c>
      <c r="R47" s="11" t="s">
        <v>17</v>
      </c>
      <c r="S47" s="11" t="s">
        <v>44</v>
      </c>
    </row>
    <row r="48" customFormat="false" ht="15" hidden="false" customHeight="false" outlineLevel="0" collapsed="false">
      <c r="A48" s="4" t="s">
        <v>42</v>
      </c>
      <c r="B48" s="4" t="s">
        <v>41</v>
      </c>
      <c r="C48" s="4" t="s">
        <v>43</v>
      </c>
      <c r="D48" s="4" t="s">
        <v>248</v>
      </c>
      <c r="E48" s="4" t="s">
        <v>176</v>
      </c>
      <c r="F48" s="4" t="s">
        <v>16</v>
      </c>
      <c r="G48" s="4" t="s">
        <v>249</v>
      </c>
      <c r="H48" s="4" t="s">
        <v>250</v>
      </c>
      <c r="I48" s="4" t="s">
        <v>178</v>
      </c>
      <c r="J48" s="4" t="s">
        <v>243</v>
      </c>
      <c r="K48" s="4" t="s">
        <v>100</v>
      </c>
      <c r="L48" s="30" t="n">
        <v>54255</v>
      </c>
      <c r="M48" s="4" t="s">
        <v>128</v>
      </c>
      <c r="N48" s="4" t="s">
        <v>102</v>
      </c>
      <c r="O48" s="4" t="n">
        <v>0</v>
      </c>
      <c r="P48" s="4" t="n">
        <v>0</v>
      </c>
      <c r="Q48" s="4" t="n">
        <v>4</v>
      </c>
      <c r="R48" s="4" t="s">
        <v>17</v>
      </c>
      <c r="S48" s="4" t="s">
        <v>44</v>
      </c>
    </row>
    <row r="49" customFormat="false" ht="15" hidden="false" customHeight="false" outlineLevel="0" collapsed="false">
      <c r="A49" s="11" t="s">
        <v>52</v>
      </c>
      <c r="B49" s="11" t="s">
        <v>14</v>
      </c>
      <c r="C49" s="11" t="s">
        <v>53</v>
      </c>
      <c r="D49" s="11" t="s">
        <v>251</v>
      </c>
      <c r="E49" s="11" t="s">
        <v>252</v>
      </c>
      <c r="F49" s="11" t="s">
        <v>16</v>
      </c>
      <c r="G49" s="11" t="s">
        <v>253</v>
      </c>
      <c r="H49" s="11" t="s">
        <v>254</v>
      </c>
      <c r="I49" s="11" t="s">
        <v>139</v>
      </c>
      <c r="J49" s="11" t="s">
        <v>107</v>
      </c>
      <c r="K49" s="11" t="s">
        <v>100</v>
      </c>
      <c r="L49" s="31" t="n">
        <v>13628</v>
      </c>
      <c r="M49" s="11" t="s">
        <v>255</v>
      </c>
      <c r="N49" s="11" t="s">
        <v>102</v>
      </c>
      <c r="O49" s="11" t="n">
        <v>0</v>
      </c>
      <c r="P49" s="11" t="n">
        <v>54</v>
      </c>
      <c r="Q49" s="11" t="n">
        <v>35</v>
      </c>
      <c r="R49" s="11" t="s">
        <v>17</v>
      </c>
      <c r="S49" s="11" t="s">
        <v>18</v>
      </c>
    </row>
    <row r="50" customFormat="false" ht="15" hidden="false" customHeight="false" outlineLevel="0" collapsed="false">
      <c r="A50" s="4" t="s">
        <v>52</v>
      </c>
      <c r="B50" s="4" t="s">
        <v>20</v>
      </c>
      <c r="C50" s="4" t="s">
        <v>15</v>
      </c>
      <c r="D50" s="4" t="s">
        <v>256</v>
      </c>
      <c r="E50" s="4" t="s">
        <v>95</v>
      </c>
      <c r="F50" s="4" t="s">
        <v>16</v>
      </c>
      <c r="G50" s="4" t="s">
        <v>257</v>
      </c>
      <c r="H50" s="4" t="s">
        <v>258</v>
      </c>
      <c r="I50" s="4" t="s">
        <v>106</v>
      </c>
      <c r="J50" s="4" t="s">
        <v>99</v>
      </c>
      <c r="K50" s="4" t="s">
        <v>100</v>
      </c>
      <c r="L50" s="30" t="n">
        <v>30843</v>
      </c>
      <c r="M50" s="4" t="s">
        <v>101</v>
      </c>
      <c r="N50" s="4" t="s">
        <v>102</v>
      </c>
      <c r="O50" s="4" t="n">
        <v>0</v>
      </c>
      <c r="P50" s="4" t="n">
        <v>0</v>
      </c>
      <c r="Q50" s="4" t="n">
        <v>65</v>
      </c>
      <c r="R50" s="4" t="s">
        <v>17</v>
      </c>
      <c r="S50" s="4" t="s">
        <v>18</v>
      </c>
    </row>
    <row r="51" customFormat="false" ht="15" hidden="false" customHeight="false" outlineLevel="0" collapsed="false">
      <c r="A51" s="11" t="s">
        <v>52</v>
      </c>
      <c r="B51" s="11" t="s">
        <v>21</v>
      </c>
      <c r="C51" s="11" t="s">
        <v>15</v>
      </c>
      <c r="D51" s="11" t="s">
        <v>259</v>
      </c>
      <c r="E51" s="11" t="s">
        <v>95</v>
      </c>
      <c r="F51" s="11" t="s">
        <v>16</v>
      </c>
      <c r="G51" s="11" t="s">
        <v>260</v>
      </c>
      <c r="H51" s="11" t="s">
        <v>229</v>
      </c>
      <c r="I51" s="11" t="s">
        <v>139</v>
      </c>
      <c r="J51" s="11" t="s">
        <v>107</v>
      </c>
      <c r="K51" s="11" t="s">
        <v>100</v>
      </c>
      <c r="L51" s="31" t="n">
        <v>31138</v>
      </c>
      <c r="M51" s="11" t="s">
        <v>101</v>
      </c>
      <c r="N51" s="11" t="s">
        <v>102</v>
      </c>
      <c r="O51" s="11" t="n">
        <v>0</v>
      </c>
      <c r="P51" s="11" t="n">
        <v>0</v>
      </c>
      <c r="Q51" s="11" t="n">
        <v>33</v>
      </c>
      <c r="R51" s="11" t="s">
        <v>17</v>
      </c>
      <c r="S51" s="11" t="s">
        <v>18</v>
      </c>
    </row>
    <row r="52" customFormat="false" ht="15" hidden="false" customHeight="false" outlineLevel="0" collapsed="false">
      <c r="A52" s="4" t="s">
        <v>52</v>
      </c>
      <c r="B52" s="4" t="s">
        <v>22</v>
      </c>
      <c r="C52" s="4" t="s">
        <v>15</v>
      </c>
      <c r="D52" s="4" t="s">
        <v>261</v>
      </c>
      <c r="E52" s="4" t="s">
        <v>95</v>
      </c>
      <c r="F52" s="4" t="s">
        <v>16</v>
      </c>
      <c r="G52" s="4" t="s">
        <v>262</v>
      </c>
      <c r="H52" s="4" t="s">
        <v>121</v>
      </c>
      <c r="I52" s="4" t="s">
        <v>106</v>
      </c>
      <c r="J52" s="4" t="s">
        <v>107</v>
      </c>
      <c r="K52" s="4" t="s">
        <v>100</v>
      </c>
      <c r="L52" s="30" t="n">
        <v>30729</v>
      </c>
      <c r="M52" s="4" t="s">
        <v>101</v>
      </c>
      <c r="N52" s="4" t="s">
        <v>102</v>
      </c>
      <c r="O52" s="4" t="n">
        <v>0</v>
      </c>
      <c r="P52" s="4" t="n">
        <v>0</v>
      </c>
      <c r="Q52" s="4" t="n">
        <v>115</v>
      </c>
      <c r="R52" s="4" t="s">
        <v>17</v>
      </c>
      <c r="S52" s="4" t="s">
        <v>18</v>
      </c>
    </row>
    <row r="53" customFormat="false" ht="15" hidden="false" customHeight="false" outlineLevel="0" collapsed="false">
      <c r="A53" s="11" t="s">
        <v>52</v>
      </c>
      <c r="B53" s="11" t="s">
        <v>23</v>
      </c>
      <c r="C53" s="11" t="s">
        <v>15</v>
      </c>
      <c r="D53" s="11" t="s">
        <v>263</v>
      </c>
      <c r="E53" s="11" t="s">
        <v>95</v>
      </c>
      <c r="F53" s="11" t="s">
        <v>16</v>
      </c>
      <c r="G53" s="11" t="s">
        <v>264</v>
      </c>
      <c r="H53" s="11" t="s">
        <v>265</v>
      </c>
      <c r="I53" s="11" t="s">
        <v>146</v>
      </c>
      <c r="J53" s="11" t="s">
        <v>107</v>
      </c>
      <c r="K53" s="11" t="s">
        <v>100</v>
      </c>
      <c r="L53" s="31" t="n">
        <v>31001</v>
      </c>
      <c r="M53" s="11" t="s">
        <v>101</v>
      </c>
      <c r="N53" s="11" t="s">
        <v>102</v>
      </c>
      <c r="O53" s="11" t="n">
        <v>0</v>
      </c>
      <c r="P53" s="11" t="n">
        <v>0</v>
      </c>
      <c r="Q53" s="11" t="n">
        <v>71</v>
      </c>
      <c r="R53" s="11" t="s">
        <v>17</v>
      </c>
      <c r="S53" s="11" t="s">
        <v>18</v>
      </c>
    </row>
    <row r="54" customFormat="false" ht="15" hidden="false" customHeight="false" outlineLevel="0" collapsed="false">
      <c r="A54" s="4" t="s">
        <v>52</v>
      </c>
      <c r="B54" s="4" t="s">
        <v>24</v>
      </c>
      <c r="C54" s="4" t="s">
        <v>15</v>
      </c>
      <c r="D54" s="4" t="s">
        <v>266</v>
      </c>
      <c r="E54" s="4" t="s">
        <v>95</v>
      </c>
      <c r="F54" s="4" t="s">
        <v>16</v>
      </c>
      <c r="G54" s="4" t="s">
        <v>267</v>
      </c>
      <c r="H54" s="4" t="s">
        <v>268</v>
      </c>
      <c r="I54" s="4" t="s">
        <v>146</v>
      </c>
      <c r="J54" s="4" t="s">
        <v>107</v>
      </c>
      <c r="K54" s="4" t="s">
        <v>100</v>
      </c>
      <c r="L54" s="30" t="n">
        <v>30154</v>
      </c>
      <c r="M54" s="4" t="s">
        <v>101</v>
      </c>
      <c r="N54" s="4" t="s">
        <v>102</v>
      </c>
      <c r="O54" s="4" t="n">
        <v>0</v>
      </c>
      <c r="P54" s="4" t="n">
        <v>0</v>
      </c>
      <c r="Q54" s="4" t="n">
        <v>55</v>
      </c>
      <c r="R54" s="4" t="s">
        <v>17</v>
      </c>
      <c r="S54" s="4" t="s">
        <v>18</v>
      </c>
    </row>
    <row r="55" customFormat="false" ht="15" hidden="false" customHeight="false" outlineLevel="0" collapsed="false">
      <c r="A55" s="11" t="s">
        <v>52</v>
      </c>
      <c r="B55" s="11" t="s">
        <v>25</v>
      </c>
      <c r="C55" s="11" t="s">
        <v>15</v>
      </c>
      <c r="D55" s="11" t="s">
        <v>269</v>
      </c>
      <c r="E55" s="11" t="s">
        <v>95</v>
      </c>
      <c r="F55" s="11" t="s">
        <v>16</v>
      </c>
      <c r="G55" s="11" t="s">
        <v>270</v>
      </c>
      <c r="H55" s="11" t="s">
        <v>271</v>
      </c>
      <c r="I55" s="11" t="s">
        <v>98</v>
      </c>
      <c r="J55" s="11" t="s">
        <v>107</v>
      </c>
      <c r="K55" s="11" t="s">
        <v>100</v>
      </c>
      <c r="L55" s="31" t="n">
        <v>32358</v>
      </c>
      <c r="M55" s="11" t="s">
        <v>101</v>
      </c>
      <c r="N55" s="11" t="s">
        <v>102</v>
      </c>
      <c r="O55" s="11" t="n">
        <v>0</v>
      </c>
      <c r="P55" s="11" t="n">
        <v>0</v>
      </c>
      <c r="Q55" s="11" t="n">
        <v>155</v>
      </c>
      <c r="R55" s="11" t="s">
        <v>17</v>
      </c>
      <c r="S55" s="11" t="s">
        <v>18</v>
      </c>
    </row>
    <row r="56" customFormat="false" ht="15" hidden="false" customHeight="false" outlineLevel="0" collapsed="false">
      <c r="A56" s="4" t="s">
        <v>52</v>
      </c>
      <c r="B56" s="4" t="s">
        <v>26</v>
      </c>
      <c r="C56" s="4" t="s">
        <v>53</v>
      </c>
      <c r="D56" s="4" t="s">
        <v>272</v>
      </c>
      <c r="E56" s="4" t="s">
        <v>252</v>
      </c>
      <c r="F56" s="4" t="s">
        <v>16</v>
      </c>
      <c r="G56" s="4" t="s">
        <v>273</v>
      </c>
      <c r="H56" s="4" t="s">
        <v>274</v>
      </c>
      <c r="I56" s="4" t="s">
        <v>139</v>
      </c>
      <c r="J56" s="4" t="s">
        <v>107</v>
      </c>
      <c r="K56" s="4" t="s">
        <v>100</v>
      </c>
      <c r="L56" s="30" t="n">
        <v>13614</v>
      </c>
      <c r="M56" s="4" t="s">
        <v>255</v>
      </c>
      <c r="N56" s="4" t="s">
        <v>102</v>
      </c>
      <c r="O56" s="4" t="n">
        <v>0</v>
      </c>
      <c r="P56" s="4" t="n">
        <v>54</v>
      </c>
      <c r="Q56" s="4" t="n">
        <v>34</v>
      </c>
      <c r="R56" s="4" t="s">
        <v>17</v>
      </c>
      <c r="S56" s="4" t="s">
        <v>18</v>
      </c>
    </row>
    <row r="57" customFormat="false" ht="15" hidden="false" customHeight="false" outlineLevel="0" collapsed="false">
      <c r="A57" s="11" t="s">
        <v>52</v>
      </c>
      <c r="B57" s="11" t="s">
        <v>27</v>
      </c>
      <c r="C57" s="11" t="s">
        <v>43</v>
      </c>
      <c r="D57" s="11" t="s">
        <v>275</v>
      </c>
      <c r="E57" s="11" t="s">
        <v>176</v>
      </c>
      <c r="F57" s="11" t="s">
        <v>16</v>
      </c>
      <c r="G57" s="11" t="s">
        <v>276</v>
      </c>
      <c r="H57" s="11" t="s">
        <v>277</v>
      </c>
      <c r="I57" s="11" t="s">
        <v>178</v>
      </c>
      <c r="J57" s="11" t="s">
        <v>278</v>
      </c>
      <c r="K57" s="11" t="s">
        <v>100</v>
      </c>
      <c r="L57" s="31" t="n">
        <v>57608</v>
      </c>
      <c r="M57" s="11" t="s">
        <v>153</v>
      </c>
      <c r="N57" s="11" t="s">
        <v>102</v>
      </c>
      <c r="O57" s="11" t="n">
        <v>0</v>
      </c>
      <c r="P57" s="11" t="n">
        <v>0</v>
      </c>
      <c r="Q57" s="11" t="n">
        <v>2</v>
      </c>
      <c r="R57" s="11" t="s">
        <v>17</v>
      </c>
      <c r="S57" s="11" t="s">
        <v>44</v>
      </c>
    </row>
    <row r="58" customFormat="false" ht="15" hidden="false" customHeight="false" outlineLevel="0" collapsed="false">
      <c r="A58" s="4" t="s">
        <v>52</v>
      </c>
      <c r="B58" s="4" t="s">
        <v>28</v>
      </c>
      <c r="C58" s="4" t="s">
        <v>43</v>
      </c>
      <c r="D58" s="4" t="s">
        <v>279</v>
      </c>
      <c r="E58" s="4" t="s">
        <v>176</v>
      </c>
      <c r="F58" s="4" t="s">
        <v>16</v>
      </c>
      <c r="G58" s="4" t="s">
        <v>280</v>
      </c>
      <c r="H58" s="4" t="s">
        <v>281</v>
      </c>
      <c r="I58" s="4" t="s">
        <v>178</v>
      </c>
      <c r="J58" s="4" t="s">
        <v>282</v>
      </c>
      <c r="K58" s="4" t="s">
        <v>100</v>
      </c>
      <c r="L58" s="30" t="n">
        <v>47931</v>
      </c>
      <c r="M58" s="4" t="s">
        <v>128</v>
      </c>
      <c r="N58" s="4" t="s">
        <v>102</v>
      </c>
      <c r="O58" s="4" t="n">
        <v>0</v>
      </c>
      <c r="P58" s="4" t="n">
        <v>0</v>
      </c>
      <c r="Q58" s="4" t="n">
        <v>15</v>
      </c>
      <c r="R58" s="4" t="s">
        <v>17</v>
      </c>
      <c r="S58" s="4" t="s">
        <v>44</v>
      </c>
    </row>
    <row r="59" customFormat="false" ht="15" hidden="false" customHeight="false" outlineLevel="0" collapsed="false">
      <c r="A59" s="11" t="s">
        <v>52</v>
      </c>
      <c r="B59" s="11" t="s">
        <v>29</v>
      </c>
      <c r="C59" s="11" t="s">
        <v>53</v>
      </c>
      <c r="D59" s="11" t="s">
        <v>283</v>
      </c>
      <c r="E59" s="11" t="s">
        <v>252</v>
      </c>
      <c r="F59" s="11" t="s">
        <v>16</v>
      </c>
      <c r="G59" s="11" t="s">
        <v>284</v>
      </c>
      <c r="H59" s="11" t="s">
        <v>207</v>
      </c>
      <c r="I59" s="11" t="s">
        <v>139</v>
      </c>
      <c r="J59" s="11" t="s">
        <v>107</v>
      </c>
      <c r="K59" s="11" t="s">
        <v>100</v>
      </c>
      <c r="L59" s="31" t="n">
        <v>13612</v>
      </c>
      <c r="M59" s="11" t="s">
        <v>255</v>
      </c>
      <c r="N59" s="11" t="s">
        <v>102</v>
      </c>
      <c r="O59" s="11" t="n">
        <v>0</v>
      </c>
      <c r="P59" s="11" t="n">
        <v>52</v>
      </c>
      <c r="Q59" s="11" t="n">
        <v>33</v>
      </c>
      <c r="R59" s="11" t="s">
        <v>17</v>
      </c>
      <c r="S59" s="11" t="s">
        <v>18</v>
      </c>
    </row>
    <row r="60" customFormat="false" ht="15" hidden="false" customHeight="false" outlineLevel="0" collapsed="false">
      <c r="A60" s="4" t="s">
        <v>52</v>
      </c>
      <c r="B60" s="4" t="s">
        <v>30</v>
      </c>
      <c r="C60" s="4" t="s">
        <v>15</v>
      </c>
      <c r="D60" s="4" t="s">
        <v>285</v>
      </c>
      <c r="E60" s="4" t="s">
        <v>95</v>
      </c>
      <c r="F60" s="4" t="s">
        <v>16</v>
      </c>
      <c r="G60" s="4" t="s">
        <v>286</v>
      </c>
      <c r="H60" s="4" t="s">
        <v>287</v>
      </c>
      <c r="I60" s="4" t="s">
        <v>146</v>
      </c>
      <c r="J60" s="4" t="s">
        <v>99</v>
      </c>
      <c r="K60" s="4" t="s">
        <v>100</v>
      </c>
      <c r="L60" s="30" t="n">
        <v>32335</v>
      </c>
      <c r="M60" s="4" t="s">
        <v>101</v>
      </c>
      <c r="N60" s="4" t="s">
        <v>102</v>
      </c>
      <c r="O60" s="4" t="n">
        <v>0</v>
      </c>
      <c r="P60" s="4" t="n">
        <v>0</v>
      </c>
      <c r="Q60" s="4" t="n">
        <v>58</v>
      </c>
      <c r="R60" s="4" t="s">
        <v>17</v>
      </c>
      <c r="S60" s="4" t="s">
        <v>18</v>
      </c>
    </row>
    <row r="61" customFormat="false" ht="15" hidden="false" customHeight="false" outlineLevel="0" collapsed="false">
      <c r="A61" s="11" t="s">
        <v>52</v>
      </c>
      <c r="B61" s="11" t="s">
        <v>31</v>
      </c>
      <c r="C61" s="11" t="s">
        <v>56</v>
      </c>
      <c r="D61" s="11" t="s">
        <v>288</v>
      </c>
      <c r="E61" s="11" t="s">
        <v>289</v>
      </c>
      <c r="F61" s="11" t="s">
        <v>16</v>
      </c>
      <c r="G61" s="11" t="s">
        <v>290</v>
      </c>
      <c r="H61" s="11" t="s">
        <v>291</v>
      </c>
      <c r="I61" s="11" t="s">
        <v>178</v>
      </c>
      <c r="J61" s="11" t="s">
        <v>107</v>
      </c>
      <c r="K61" s="11" t="s">
        <v>100</v>
      </c>
      <c r="L61" s="31" t="n">
        <v>28167</v>
      </c>
      <c r="M61" s="11" t="s">
        <v>292</v>
      </c>
      <c r="N61" s="11" t="s">
        <v>102</v>
      </c>
      <c r="O61" s="11" t="n">
        <v>0</v>
      </c>
      <c r="P61" s="11" t="n">
        <v>0</v>
      </c>
      <c r="Q61" s="11" t="n">
        <v>47</v>
      </c>
      <c r="R61" s="11" t="s">
        <v>17</v>
      </c>
      <c r="S61" s="11" t="s">
        <v>18</v>
      </c>
    </row>
    <row r="62" customFormat="false" ht="15" hidden="false" customHeight="false" outlineLevel="0" collapsed="false">
      <c r="A62" s="4" t="s">
        <v>52</v>
      </c>
      <c r="B62" s="4" t="s">
        <v>32</v>
      </c>
      <c r="C62" s="4" t="s">
        <v>15</v>
      </c>
      <c r="D62" s="4" t="s">
        <v>293</v>
      </c>
      <c r="E62" s="4" t="s">
        <v>95</v>
      </c>
      <c r="F62" s="4" t="s">
        <v>16</v>
      </c>
      <c r="G62" s="4" t="s">
        <v>151</v>
      </c>
      <c r="H62" s="4" t="s">
        <v>112</v>
      </c>
      <c r="I62" s="4" t="s">
        <v>106</v>
      </c>
      <c r="J62" s="4" t="s">
        <v>107</v>
      </c>
      <c r="K62" s="4" t="s">
        <v>100</v>
      </c>
      <c r="L62" s="30" t="n">
        <v>30711</v>
      </c>
      <c r="M62" s="4" t="s">
        <v>132</v>
      </c>
      <c r="N62" s="4" t="s">
        <v>102</v>
      </c>
      <c r="O62" s="4" t="n">
        <v>0</v>
      </c>
      <c r="P62" s="4" t="n">
        <v>0</v>
      </c>
      <c r="Q62" s="4" t="n">
        <v>74</v>
      </c>
      <c r="R62" s="4" t="s">
        <v>17</v>
      </c>
      <c r="S62" s="4" t="s">
        <v>18</v>
      </c>
    </row>
    <row r="63" customFormat="false" ht="15" hidden="false" customHeight="false" outlineLevel="0" collapsed="false">
      <c r="A63" s="11" t="s">
        <v>52</v>
      </c>
      <c r="B63" s="11" t="s">
        <v>33</v>
      </c>
      <c r="C63" s="11" t="s">
        <v>15</v>
      </c>
      <c r="D63" s="11" t="s">
        <v>294</v>
      </c>
      <c r="E63" s="11" t="s">
        <v>95</v>
      </c>
      <c r="F63" s="11" t="s">
        <v>16</v>
      </c>
      <c r="G63" s="11" t="s">
        <v>295</v>
      </c>
      <c r="H63" s="11" t="s">
        <v>296</v>
      </c>
      <c r="I63" s="11" t="s">
        <v>106</v>
      </c>
      <c r="J63" s="11" t="s">
        <v>107</v>
      </c>
      <c r="K63" s="11" t="s">
        <v>100</v>
      </c>
      <c r="L63" s="31" t="n">
        <v>30595</v>
      </c>
      <c r="M63" s="11" t="s">
        <v>132</v>
      </c>
      <c r="N63" s="11" t="s">
        <v>102</v>
      </c>
      <c r="O63" s="11" t="n">
        <v>0</v>
      </c>
      <c r="P63" s="11" t="n">
        <v>0</v>
      </c>
      <c r="Q63" s="11" t="n">
        <v>39</v>
      </c>
      <c r="R63" s="11" t="s">
        <v>17</v>
      </c>
      <c r="S63" s="11" t="s">
        <v>18</v>
      </c>
    </row>
    <row r="64" customFormat="false" ht="15" hidden="false" customHeight="false" outlineLevel="0" collapsed="false">
      <c r="A64" s="4" t="s">
        <v>52</v>
      </c>
      <c r="B64" s="4" t="s">
        <v>34</v>
      </c>
      <c r="C64" s="4" t="s">
        <v>15</v>
      </c>
      <c r="D64" s="4" t="s">
        <v>297</v>
      </c>
      <c r="E64" s="4" t="s">
        <v>95</v>
      </c>
      <c r="F64" s="4" t="s">
        <v>16</v>
      </c>
      <c r="G64" s="4" t="s">
        <v>114</v>
      </c>
      <c r="H64" s="4" t="s">
        <v>162</v>
      </c>
      <c r="I64" s="4" t="s">
        <v>98</v>
      </c>
      <c r="J64" s="4" t="s">
        <v>99</v>
      </c>
      <c r="K64" s="4" t="s">
        <v>100</v>
      </c>
      <c r="L64" s="30" t="n">
        <v>30697</v>
      </c>
      <c r="M64" s="4" t="s">
        <v>255</v>
      </c>
      <c r="N64" s="4" t="s">
        <v>102</v>
      </c>
      <c r="O64" s="4" t="n">
        <v>0</v>
      </c>
      <c r="P64" s="4" t="n">
        <v>0</v>
      </c>
      <c r="Q64" s="4" t="n">
        <v>50</v>
      </c>
      <c r="R64" s="4" t="s">
        <v>17</v>
      </c>
      <c r="S64" s="4" t="s">
        <v>18</v>
      </c>
    </row>
    <row r="65" customFormat="false" ht="15" hidden="false" customHeight="false" outlineLevel="0" collapsed="false">
      <c r="A65" s="11" t="s">
        <v>52</v>
      </c>
      <c r="B65" s="11" t="s">
        <v>35</v>
      </c>
      <c r="C65" s="11" t="s">
        <v>56</v>
      </c>
      <c r="D65" s="11" t="s">
        <v>298</v>
      </c>
      <c r="E65" s="11" t="s">
        <v>289</v>
      </c>
      <c r="F65" s="11" t="s">
        <v>16</v>
      </c>
      <c r="G65" s="11" t="s">
        <v>299</v>
      </c>
      <c r="H65" s="11" t="s">
        <v>300</v>
      </c>
      <c r="I65" s="11" t="s">
        <v>178</v>
      </c>
      <c r="J65" s="11" t="s">
        <v>107</v>
      </c>
      <c r="K65" s="11" t="s">
        <v>100</v>
      </c>
      <c r="L65" s="31" t="n">
        <v>28167</v>
      </c>
      <c r="M65" s="11" t="s">
        <v>301</v>
      </c>
      <c r="N65" s="11" t="s">
        <v>102</v>
      </c>
      <c r="O65" s="11" t="n">
        <v>0</v>
      </c>
      <c r="P65" s="11" t="n">
        <v>0</v>
      </c>
      <c r="Q65" s="11" t="n">
        <v>45</v>
      </c>
      <c r="R65" s="11" t="s">
        <v>17</v>
      </c>
      <c r="S65" s="11" t="s">
        <v>18</v>
      </c>
    </row>
    <row r="66" customFormat="false" ht="15" hidden="false" customHeight="false" outlineLevel="0" collapsed="false">
      <c r="A66" s="4" t="s">
        <v>52</v>
      </c>
      <c r="B66" s="4" t="s">
        <v>36</v>
      </c>
      <c r="C66" s="4" t="s">
        <v>56</v>
      </c>
      <c r="D66" s="4" t="s">
        <v>302</v>
      </c>
      <c r="E66" s="4" t="s">
        <v>289</v>
      </c>
      <c r="F66" s="4" t="s">
        <v>16</v>
      </c>
      <c r="G66" s="4" t="s">
        <v>137</v>
      </c>
      <c r="H66" s="4" t="s">
        <v>303</v>
      </c>
      <c r="I66" s="4" t="s">
        <v>178</v>
      </c>
      <c r="J66" s="4" t="s">
        <v>107</v>
      </c>
      <c r="K66" s="4" t="s">
        <v>100</v>
      </c>
      <c r="L66" s="30" t="n">
        <v>28167</v>
      </c>
      <c r="M66" s="4" t="s">
        <v>292</v>
      </c>
      <c r="N66" s="4" t="s">
        <v>102</v>
      </c>
      <c r="O66" s="4" t="n">
        <v>0</v>
      </c>
      <c r="P66" s="4" t="n">
        <v>0</v>
      </c>
      <c r="Q66" s="4" t="n">
        <v>43</v>
      </c>
      <c r="R66" s="4" t="s">
        <v>17</v>
      </c>
      <c r="S66" s="4" t="s">
        <v>18</v>
      </c>
    </row>
    <row r="67" customFormat="false" ht="15" hidden="false" customHeight="false" outlineLevel="0" collapsed="false">
      <c r="A67" s="11" t="s">
        <v>52</v>
      </c>
      <c r="B67" s="11" t="s">
        <v>49</v>
      </c>
      <c r="C67" s="11" t="s">
        <v>56</v>
      </c>
      <c r="D67" s="11" t="s">
        <v>304</v>
      </c>
      <c r="E67" s="11" t="s">
        <v>289</v>
      </c>
      <c r="F67" s="11" t="s">
        <v>16</v>
      </c>
      <c r="G67" s="11" t="s">
        <v>305</v>
      </c>
      <c r="H67" s="11" t="s">
        <v>306</v>
      </c>
      <c r="I67" s="11" t="s">
        <v>178</v>
      </c>
      <c r="J67" s="11" t="s">
        <v>107</v>
      </c>
      <c r="K67" s="11" t="s">
        <v>100</v>
      </c>
      <c r="L67" s="31" t="n">
        <v>28167</v>
      </c>
      <c r="M67" s="11" t="s">
        <v>301</v>
      </c>
      <c r="N67" s="11" t="s">
        <v>102</v>
      </c>
      <c r="O67" s="11" t="n">
        <v>0</v>
      </c>
      <c r="P67" s="11" t="n">
        <v>0</v>
      </c>
      <c r="Q67" s="11" t="n">
        <v>45</v>
      </c>
      <c r="R67" s="11" t="s">
        <v>17</v>
      </c>
      <c r="S67" s="11" t="s">
        <v>18</v>
      </c>
    </row>
    <row r="68" customFormat="false" ht="15" hidden="false" customHeight="false" outlineLevel="0" collapsed="false">
      <c r="A68" s="4" t="s">
        <v>52</v>
      </c>
      <c r="B68" s="4" t="s">
        <v>37</v>
      </c>
      <c r="C68" s="4" t="s">
        <v>56</v>
      </c>
      <c r="D68" s="4" t="s">
        <v>307</v>
      </c>
      <c r="E68" s="4" t="s">
        <v>289</v>
      </c>
      <c r="F68" s="4" t="s">
        <v>16</v>
      </c>
      <c r="G68" s="4" t="s">
        <v>308</v>
      </c>
      <c r="H68" s="4" t="s">
        <v>309</v>
      </c>
      <c r="I68" s="4" t="s">
        <v>178</v>
      </c>
      <c r="J68" s="4" t="s">
        <v>107</v>
      </c>
      <c r="K68" s="4" t="s">
        <v>100</v>
      </c>
      <c r="L68" s="30" t="n">
        <v>28167</v>
      </c>
      <c r="M68" s="4" t="s">
        <v>292</v>
      </c>
      <c r="N68" s="4" t="s">
        <v>102</v>
      </c>
      <c r="O68" s="4" t="n">
        <v>0</v>
      </c>
      <c r="P68" s="4" t="n">
        <v>0</v>
      </c>
      <c r="Q68" s="4" t="n">
        <v>43</v>
      </c>
      <c r="R68" s="4" t="s">
        <v>17</v>
      </c>
      <c r="S68" s="4" t="s">
        <v>18</v>
      </c>
    </row>
    <row r="69" customFormat="false" ht="15" hidden="false" customHeight="false" outlineLevel="0" collapsed="false">
      <c r="A69" s="11" t="s">
        <v>52</v>
      </c>
      <c r="B69" s="11" t="s">
        <v>38</v>
      </c>
      <c r="C69" s="11" t="s">
        <v>15</v>
      </c>
      <c r="D69" s="11" t="s">
        <v>310</v>
      </c>
      <c r="E69" s="11" t="s">
        <v>95</v>
      </c>
      <c r="F69" s="11" t="s">
        <v>16</v>
      </c>
      <c r="G69" s="11" t="s">
        <v>276</v>
      </c>
      <c r="H69" s="11" t="s">
        <v>137</v>
      </c>
      <c r="I69" s="11" t="s">
        <v>106</v>
      </c>
      <c r="J69" s="11" t="s">
        <v>99</v>
      </c>
      <c r="K69" s="11" t="s">
        <v>100</v>
      </c>
      <c r="L69" s="31" t="n">
        <v>30682</v>
      </c>
      <c r="M69" s="11" t="s">
        <v>101</v>
      </c>
      <c r="N69" s="11" t="s">
        <v>102</v>
      </c>
      <c r="O69" s="11" t="n">
        <v>0</v>
      </c>
      <c r="P69" s="11" t="n">
        <v>0</v>
      </c>
      <c r="Q69" s="11" t="n">
        <v>46</v>
      </c>
      <c r="R69" s="11" t="s">
        <v>17</v>
      </c>
      <c r="S69" s="11" t="s">
        <v>18</v>
      </c>
    </row>
    <row r="70" customFormat="false" ht="15" hidden="false" customHeight="false" outlineLevel="0" collapsed="false">
      <c r="A70" s="4" t="s">
        <v>52</v>
      </c>
      <c r="B70" s="4" t="s">
        <v>39</v>
      </c>
      <c r="C70" s="4" t="s">
        <v>56</v>
      </c>
      <c r="D70" s="4" t="s">
        <v>311</v>
      </c>
      <c r="E70" s="4" t="s">
        <v>289</v>
      </c>
      <c r="F70" s="4" t="s">
        <v>16</v>
      </c>
      <c r="G70" s="4" t="s">
        <v>312</v>
      </c>
      <c r="H70" s="4" t="s">
        <v>254</v>
      </c>
      <c r="I70" s="4" t="s">
        <v>178</v>
      </c>
      <c r="J70" s="4" t="s">
        <v>107</v>
      </c>
      <c r="K70" s="4" t="s">
        <v>100</v>
      </c>
      <c r="L70" s="30" t="n">
        <v>28165</v>
      </c>
      <c r="M70" s="4" t="s">
        <v>292</v>
      </c>
      <c r="N70" s="4" t="s">
        <v>102</v>
      </c>
      <c r="O70" s="4" t="n">
        <v>0</v>
      </c>
      <c r="P70" s="4" t="n">
        <v>0</v>
      </c>
      <c r="Q70" s="4" t="n">
        <v>43</v>
      </c>
      <c r="R70" s="4" t="s">
        <v>17</v>
      </c>
      <c r="S70" s="4" t="s">
        <v>18</v>
      </c>
    </row>
    <row r="71" customFormat="false" ht="15" hidden="false" customHeight="false" outlineLevel="0" collapsed="false">
      <c r="A71" s="11" t="s">
        <v>52</v>
      </c>
      <c r="B71" s="11" t="s">
        <v>40</v>
      </c>
      <c r="C71" s="11" t="s">
        <v>56</v>
      </c>
      <c r="D71" s="11" t="s">
        <v>313</v>
      </c>
      <c r="E71" s="11" t="s">
        <v>289</v>
      </c>
      <c r="F71" s="11" t="s">
        <v>16</v>
      </c>
      <c r="G71" s="11" t="s">
        <v>314</v>
      </c>
      <c r="H71" s="11" t="s">
        <v>315</v>
      </c>
      <c r="I71" s="11" t="s">
        <v>178</v>
      </c>
      <c r="J71" s="11" t="s">
        <v>107</v>
      </c>
      <c r="K71" s="11" t="s">
        <v>100</v>
      </c>
      <c r="L71" s="31" t="n">
        <v>28171</v>
      </c>
      <c r="M71" s="11" t="s">
        <v>292</v>
      </c>
      <c r="N71" s="11" t="s">
        <v>102</v>
      </c>
      <c r="O71" s="11" t="n">
        <v>0</v>
      </c>
      <c r="P71" s="11" t="n">
        <v>0</v>
      </c>
      <c r="Q71" s="11" t="n">
        <v>61</v>
      </c>
      <c r="R71" s="11" t="s">
        <v>17</v>
      </c>
      <c r="S71" s="11" t="s">
        <v>18</v>
      </c>
    </row>
    <row r="72" customFormat="false" ht="15" hidden="false" customHeight="false" outlineLevel="0" collapsed="false">
      <c r="A72" s="4" t="s">
        <v>52</v>
      </c>
      <c r="B72" s="4" t="s">
        <v>41</v>
      </c>
      <c r="C72" s="4" t="s">
        <v>56</v>
      </c>
      <c r="D72" s="4" t="s">
        <v>316</v>
      </c>
      <c r="E72" s="4" t="s">
        <v>289</v>
      </c>
      <c r="F72" s="4" t="s">
        <v>16</v>
      </c>
      <c r="G72" s="4" t="s">
        <v>317</v>
      </c>
      <c r="H72" s="4" t="s">
        <v>318</v>
      </c>
      <c r="I72" s="4" t="s">
        <v>178</v>
      </c>
      <c r="J72" s="4" t="s">
        <v>107</v>
      </c>
      <c r="K72" s="4" t="s">
        <v>100</v>
      </c>
      <c r="L72" s="30" t="n">
        <v>28165</v>
      </c>
      <c r="M72" s="4" t="s">
        <v>292</v>
      </c>
      <c r="N72" s="4" t="s">
        <v>102</v>
      </c>
      <c r="O72" s="4" t="n">
        <v>0</v>
      </c>
      <c r="P72" s="4" t="n">
        <v>0</v>
      </c>
      <c r="Q72" s="4" t="n">
        <v>39</v>
      </c>
      <c r="R72" s="4" t="s">
        <v>17</v>
      </c>
      <c r="S72" s="4" t="s">
        <v>18</v>
      </c>
    </row>
    <row r="73" customFormat="false" ht="15" hidden="false" customHeight="false" outlineLevel="0" collapsed="false">
      <c r="A73" s="11" t="s">
        <v>57</v>
      </c>
      <c r="B73" s="11" t="s">
        <v>14</v>
      </c>
      <c r="C73" s="11" t="s">
        <v>56</v>
      </c>
      <c r="D73" s="11" t="s">
        <v>319</v>
      </c>
      <c r="E73" s="11" t="s">
        <v>289</v>
      </c>
      <c r="F73" s="11" t="s">
        <v>16</v>
      </c>
      <c r="G73" s="11" t="s">
        <v>320</v>
      </c>
      <c r="H73" s="11" t="s">
        <v>321</v>
      </c>
      <c r="I73" s="11" t="s">
        <v>178</v>
      </c>
      <c r="J73" s="11" t="s">
        <v>107</v>
      </c>
      <c r="K73" s="11" t="s">
        <v>100</v>
      </c>
      <c r="L73" s="31" t="n">
        <v>28170</v>
      </c>
      <c r="M73" s="11" t="s">
        <v>292</v>
      </c>
      <c r="N73" s="11" t="s">
        <v>102</v>
      </c>
      <c r="O73" s="11" t="n">
        <v>0</v>
      </c>
      <c r="P73" s="11" t="n">
        <v>0</v>
      </c>
      <c r="Q73" s="11" t="n">
        <v>57</v>
      </c>
      <c r="R73" s="11" t="s">
        <v>17</v>
      </c>
      <c r="S73" s="11" t="s">
        <v>18</v>
      </c>
    </row>
    <row r="74" customFormat="false" ht="15" hidden="false" customHeight="false" outlineLevel="0" collapsed="false">
      <c r="A74" s="4" t="s">
        <v>57</v>
      </c>
      <c r="B74" s="4" t="s">
        <v>20</v>
      </c>
      <c r="C74" s="4" t="s">
        <v>56</v>
      </c>
      <c r="D74" s="4" t="s">
        <v>322</v>
      </c>
      <c r="E74" s="4" t="s">
        <v>289</v>
      </c>
      <c r="F74" s="4" t="s">
        <v>16</v>
      </c>
      <c r="G74" s="4" t="s">
        <v>260</v>
      </c>
      <c r="H74" s="4" t="s">
        <v>303</v>
      </c>
      <c r="I74" s="4" t="s">
        <v>139</v>
      </c>
      <c r="J74" s="4" t="s">
        <v>107</v>
      </c>
      <c r="K74" s="4" t="s">
        <v>100</v>
      </c>
      <c r="L74" s="30" t="n">
        <v>28170</v>
      </c>
      <c r="M74" s="4" t="s">
        <v>292</v>
      </c>
      <c r="N74" s="4" t="s">
        <v>102</v>
      </c>
      <c r="O74" s="4" t="n">
        <v>0</v>
      </c>
      <c r="P74" s="4" t="n">
        <v>0</v>
      </c>
      <c r="Q74" s="4" t="n">
        <v>61</v>
      </c>
      <c r="R74" s="4" t="s">
        <v>17</v>
      </c>
      <c r="S74" s="4" t="s">
        <v>18</v>
      </c>
    </row>
    <row r="75" customFormat="false" ht="15" hidden="false" customHeight="false" outlineLevel="0" collapsed="false">
      <c r="A75" s="11" t="s">
        <v>57</v>
      </c>
      <c r="B75" s="11" t="s">
        <v>21</v>
      </c>
      <c r="C75" s="11" t="s">
        <v>56</v>
      </c>
      <c r="D75" s="11" t="s">
        <v>323</v>
      </c>
      <c r="E75" s="11" t="s">
        <v>289</v>
      </c>
      <c r="F75" s="11" t="s">
        <v>16</v>
      </c>
      <c r="G75" s="11" t="s">
        <v>124</v>
      </c>
      <c r="H75" s="11" t="s">
        <v>324</v>
      </c>
      <c r="I75" s="11" t="s">
        <v>178</v>
      </c>
      <c r="J75" s="11" t="s">
        <v>107</v>
      </c>
      <c r="K75" s="11" t="s">
        <v>100</v>
      </c>
      <c r="L75" s="31" t="n">
        <v>28164</v>
      </c>
      <c r="M75" s="11" t="s">
        <v>292</v>
      </c>
      <c r="N75" s="11" t="s">
        <v>102</v>
      </c>
      <c r="O75" s="11" t="n">
        <v>0</v>
      </c>
      <c r="P75" s="11" t="n">
        <v>0</v>
      </c>
      <c r="Q75" s="11" t="n">
        <v>43</v>
      </c>
      <c r="R75" s="11" t="s">
        <v>17</v>
      </c>
      <c r="S75" s="11" t="s">
        <v>18</v>
      </c>
    </row>
    <row r="76" customFormat="false" ht="15" hidden="false" customHeight="false" outlineLevel="0" collapsed="false">
      <c r="A76" s="4" t="s">
        <v>57</v>
      </c>
      <c r="B76" s="4" t="s">
        <v>22</v>
      </c>
      <c r="C76" s="4" t="s">
        <v>56</v>
      </c>
      <c r="D76" s="4" t="s">
        <v>325</v>
      </c>
      <c r="E76" s="4" t="s">
        <v>289</v>
      </c>
      <c r="F76" s="4" t="s">
        <v>16</v>
      </c>
      <c r="G76" s="4" t="s">
        <v>124</v>
      </c>
      <c r="H76" s="4" t="s">
        <v>326</v>
      </c>
      <c r="I76" s="4" t="s">
        <v>178</v>
      </c>
      <c r="J76" s="4" t="s">
        <v>107</v>
      </c>
      <c r="K76" s="4" t="s">
        <v>100</v>
      </c>
      <c r="L76" s="30" t="n">
        <v>28170</v>
      </c>
      <c r="M76" s="4" t="s">
        <v>292</v>
      </c>
      <c r="N76" s="4" t="s">
        <v>102</v>
      </c>
      <c r="O76" s="4" t="n">
        <v>0</v>
      </c>
      <c r="P76" s="4" t="n">
        <v>0</v>
      </c>
      <c r="Q76" s="4" t="n">
        <v>57</v>
      </c>
      <c r="R76" s="4" t="s">
        <v>17</v>
      </c>
      <c r="S76" s="4" t="s">
        <v>18</v>
      </c>
    </row>
    <row r="77" customFormat="false" ht="15" hidden="false" customHeight="false" outlineLevel="0" collapsed="false">
      <c r="A77" s="11" t="s">
        <v>57</v>
      </c>
      <c r="B77" s="11" t="s">
        <v>23</v>
      </c>
      <c r="C77" s="11" t="s">
        <v>15</v>
      </c>
      <c r="D77" s="11" t="s">
        <v>327</v>
      </c>
      <c r="E77" s="11" t="s">
        <v>95</v>
      </c>
      <c r="F77" s="11" t="s">
        <v>16</v>
      </c>
      <c r="G77" s="11" t="s">
        <v>328</v>
      </c>
      <c r="H77" s="11" t="s">
        <v>329</v>
      </c>
      <c r="I77" s="11" t="s">
        <v>106</v>
      </c>
      <c r="J77" s="11" t="s">
        <v>107</v>
      </c>
      <c r="K77" s="11" t="s">
        <v>100</v>
      </c>
      <c r="L77" s="31" t="n">
        <v>30699</v>
      </c>
      <c r="M77" s="11" t="s">
        <v>132</v>
      </c>
      <c r="N77" s="11" t="s">
        <v>102</v>
      </c>
      <c r="O77" s="11" t="n">
        <v>0</v>
      </c>
      <c r="P77" s="11" t="n">
        <v>0</v>
      </c>
      <c r="Q77" s="11" t="n">
        <v>41</v>
      </c>
      <c r="R77" s="11" t="s">
        <v>17</v>
      </c>
      <c r="S77" s="11" t="s">
        <v>18</v>
      </c>
    </row>
    <row r="78" customFormat="false" ht="15" hidden="false" customHeight="false" outlineLevel="0" collapsed="false">
      <c r="A78" s="4" t="s">
        <v>57</v>
      </c>
      <c r="B78" s="4" t="s">
        <v>24</v>
      </c>
      <c r="C78" s="4" t="s">
        <v>15</v>
      </c>
      <c r="D78" s="4" t="s">
        <v>330</v>
      </c>
      <c r="E78" s="4" t="s">
        <v>95</v>
      </c>
      <c r="F78" s="4" t="s">
        <v>16</v>
      </c>
      <c r="G78" s="4" t="s">
        <v>331</v>
      </c>
      <c r="H78" s="4" t="s">
        <v>332</v>
      </c>
      <c r="I78" s="4" t="s">
        <v>146</v>
      </c>
      <c r="J78" s="4" t="s">
        <v>99</v>
      </c>
      <c r="K78" s="4" t="s">
        <v>100</v>
      </c>
      <c r="L78" s="30" t="n">
        <v>30773</v>
      </c>
      <c r="M78" s="4" t="s">
        <v>132</v>
      </c>
      <c r="N78" s="4" t="s">
        <v>102</v>
      </c>
      <c r="O78" s="4" t="n">
        <v>0</v>
      </c>
      <c r="P78" s="4" t="n">
        <v>0</v>
      </c>
      <c r="Q78" s="4" t="n">
        <v>60</v>
      </c>
      <c r="R78" s="4" t="s">
        <v>17</v>
      </c>
      <c r="S78" s="4" t="s">
        <v>18</v>
      </c>
    </row>
    <row r="79" customFormat="false" ht="15" hidden="false" customHeight="false" outlineLevel="0" collapsed="false">
      <c r="A79" s="11" t="s">
        <v>57</v>
      </c>
      <c r="B79" s="11" t="s">
        <v>25</v>
      </c>
      <c r="C79" s="11" t="s">
        <v>15</v>
      </c>
      <c r="D79" s="11" t="s">
        <v>333</v>
      </c>
      <c r="E79" s="11" t="s">
        <v>95</v>
      </c>
      <c r="F79" s="11" t="s">
        <v>16</v>
      </c>
      <c r="G79" s="11" t="s">
        <v>334</v>
      </c>
      <c r="H79" s="11" t="s">
        <v>227</v>
      </c>
      <c r="I79" s="11" t="s">
        <v>98</v>
      </c>
      <c r="J79" s="11" t="s">
        <v>107</v>
      </c>
      <c r="K79" s="11" t="s">
        <v>100</v>
      </c>
      <c r="L79" s="31" t="n">
        <v>30701</v>
      </c>
      <c r="M79" s="11" t="s">
        <v>132</v>
      </c>
      <c r="N79" s="11" t="s">
        <v>102</v>
      </c>
      <c r="O79" s="11" t="n">
        <v>0</v>
      </c>
      <c r="P79" s="11" t="n">
        <v>0</v>
      </c>
      <c r="Q79" s="11" t="n">
        <v>46</v>
      </c>
      <c r="R79" s="11" t="s">
        <v>17</v>
      </c>
      <c r="S79" s="11" t="s">
        <v>18</v>
      </c>
    </row>
    <row r="80" customFormat="false" ht="15" hidden="false" customHeight="false" outlineLevel="0" collapsed="false">
      <c r="A80" s="4" t="s">
        <v>57</v>
      </c>
      <c r="B80" s="4" t="s">
        <v>26</v>
      </c>
      <c r="C80" s="4" t="s">
        <v>15</v>
      </c>
      <c r="D80" s="4" t="s">
        <v>335</v>
      </c>
      <c r="E80" s="4" t="s">
        <v>95</v>
      </c>
      <c r="F80" s="4" t="s">
        <v>16</v>
      </c>
      <c r="G80" s="4" t="s">
        <v>336</v>
      </c>
      <c r="H80" s="4" t="s">
        <v>337</v>
      </c>
      <c r="I80" s="4" t="s">
        <v>98</v>
      </c>
      <c r="J80" s="4" t="s">
        <v>99</v>
      </c>
      <c r="K80" s="4" t="s">
        <v>100</v>
      </c>
      <c r="L80" s="30" t="n">
        <v>30717</v>
      </c>
      <c r="M80" s="4" t="s">
        <v>132</v>
      </c>
      <c r="N80" s="4" t="s">
        <v>102</v>
      </c>
      <c r="O80" s="4" t="n">
        <v>0</v>
      </c>
      <c r="P80" s="4" t="n">
        <v>0</v>
      </c>
      <c r="Q80" s="4" t="n">
        <v>60</v>
      </c>
      <c r="R80" s="4" t="s">
        <v>17</v>
      </c>
      <c r="S80" s="4" t="s">
        <v>18</v>
      </c>
    </row>
    <row r="81" customFormat="false" ht="15" hidden="false" customHeight="false" outlineLevel="0" collapsed="false">
      <c r="A81" s="11" t="s">
        <v>57</v>
      </c>
      <c r="B81" s="11" t="s">
        <v>27</v>
      </c>
      <c r="C81" s="11" t="s">
        <v>15</v>
      </c>
      <c r="D81" s="11" t="s">
        <v>338</v>
      </c>
      <c r="E81" s="11" t="s">
        <v>95</v>
      </c>
      <c r="F81" s="11" t="s">
        <v>16</v>
      </c>
      <c r="G81" s="11" t="s">
        <v>339</v>
      </c>
      <c r="H81" s="11" t="s">
        <v>340</v>
      </c>
      <c r="I81" s="11" t="s">
        <v>106</v>
      </c>
      <c r="J81" s="11" t="s">
        <v>107</v>
      </c>
      <c r="K81" s="11" t="s">
        <v>100</v>
      </c>
      <c r="L81" s="31" t="n">
        <v>30719</v>
      </c>
      <c r="M81" s="11" t="s">
        <v>255</v>
      </c>
      <c r="N81" s="11" t="s">
        <v>102</v>
      </c>
      <c r="O81" s="11" t="n">
        <v>0</v>
      </c>
      <c r="P81" s="11" t="n">
        <v>0</v>
      </c>
      <c r="Q81" s="11" t="n">
        <v>60</v>
      </c>
      <c r="R81" s="11" t="s">
        <v>17</v>
      </c>
      <c r="S81" s="11" t="s">
        <v>18</v>
      </c>
    </row>
    <row r="82" customFormat="false" ht="15" hidden="false" customHeight="false" outlineLevel="0" collapsed="false">
      <c r="A82" s="4" t="s">
        <v>57</v>
      </c>
      <c r="B82" s="4" t="s">
        <v>28</v>
      </c>
      <c r="C82" s="4" t="s">
        <v>15</v>
      </c>
      <c r="D82" s="4" t="s">
        <v>341</v>
      </c>
      <c r="E82" s="4" t="s">
        <v>95</v>
      </c>
      <c r="F82" s="4" t="s">
        <v>16</v>
      </c>
      <c r="G82" s="4" t="s">
        <v>340</v>
      </c>
      <c r="H82" s="4" t="s">
        <v>342</v>
      </c>
      <c r="I82" s="4" t="s">
        <v>139</v>
      </c>
      <c r="J82" s="4" t="s">
        <v>99</v>
      </c>
      <c r="K82" s="4" t="s">
        <v>100</v>
      </c>
      <c r="L82" s="30" t="n">
        <v>31136</v>
      </c>
      <c r="M82" s="4" t="s">
        <v>132</v>
      </c>
      <c r="N82" s="4" t="s">
        <v>102</v>
      </c>
      <c r="O82" s="4" t="n">
        <v>0</v>
      </c>
      <c r="P82" s="4" t="n">
        <v>0</v>
      </c>
      <c r="Q82" s="4" t="n">
        <v>33</v>
      </c>
      <c r="R82" s="4" t="s">
        <v>17</v>
      </c>
      <c r="S82" s="4" t="s">
        <v>18</v>
      </c>
    </row>
    <row r="83" customFormat="false" ht="15" hidden="false" customHeight="false" outlineLevel="0" collapsed="false">
      <c r="A83" s="11" t="s">
        <v>57</v>
      </c>
      <c r="B83" s="11" t="s">
        <v>29</v>
      </c>
      <c r="C83" s="11" t="s">
        <v>15</v>
      </c>
      <c r="D83" s="11" t="s">
        <v>343</v>
      </c>
      <c r="E83" s="11" t="s">
        <v>95</v>
      </c>
      <c r="F83" s="11" t="s">
        <v>16</v>
      </c>
      <c r="G83" s="11" t="s">
        <v>151</v>
      </c>
      <c r="H83" s="11" t="s">
        <v>137</v>
      </c>
      <c r="I83" s="11" t="s">
        <v>106</v>
      </c>
      <c r="J83" s="11" t="s">
        <v>99</v>
      </c>
      <c r="K83" s="11" t="s">
        <v>100</v>
      </c>
      <c r="L83" s="31" t="n">
        <v>30594</v>
      </c>
      <c r="M83" s="11" t="s">
        <v>132</v>
      </c>
      <c r="N83" s="11" t="s">
        <v>102</v>
      </c>
      <c r="O83" s="11" t="n">
        <v>0</v>
      </c>
      <c r="P83" s="11" t="n">
        <v>0</v>
      </c>
      <c r="Q83" s="11" t="n">
        <v>43</v>
      </c>
      <c r="R83" s="11" t="s">
        <v>17</v>
      </c>
      <c r="S83" s="11" t="s">
        <v>18</v>
      </c>
    </row>
    <row r="84" customFormat="false" ht="15" hidden="false" customHeight="false" outlineLevel="0" collapsed="false">
      <c r="A84" s="4" t="s">
        <v>57</v>
      </c>
      <c r="B84" s="4" t="s">
        <v>30</v>
      </c>
      <c r="C84" s="4" t="s">
        <v>15</v>
      </c>
      <c r="D84" s="4" t="s">
        <v>344</v>
      </c>
      <c r="E84" s="4" t="s">
        <v>95</v>
      </c>
      <c r="F84" s="4" t="s">
        <v>16</v>
      </c>
      <c r="G84" s="4" t="s">
        <v>345</v>
      </c>
      <c r="H84" s="4" t="s">
        <v>273</v>
      </c>
      <c r="I84" s="4" t="s">
        <v>106</v>
      </c>
      <c r="J84" s="4" t="s">
        <v>107</v>
      </c>
      <c r="K84" s="4" t="s">
        <v>100</v>
      </c>
      <c r="L84" s="30" t="n">
        <v>30729</v>
      </c>
      <c r="M84" s="4" t="s">
        <v>132</v>
      </c>
      <c r="N84" s="4" t="s">
        <v>102</v>
      </c>
      <c r="O84" s="4" t="n">
        <v>0</v>
      </c>
      <c r="P84" s="4" t="n">
        <v>0</v>
      </c>
      <c r="Q84" s="4" t="n">
        <v>115</v>
      </c>
      <c r="R84" s="4" t="s">
        <v>17</v>
      </c>
      <c r="S84" s="4" t="s">
        <v>18</v>
      </c>
    </row>
    <row r="85" customFormat="false" ht="15" hidden="false" customHeight="false" outlineLevel="0" collapsed="false">
      <c r="A85" s="11" t="s">
        <v>57</v>
      </c>
      <c r="B85" s="11" t="s">
        <v>31</v>
      </c>
      <c r="C85" s="11" t="s">
        <v>15</v>
      </c>
      <c r="D85" s="11" t="s">
        <v>346</v>
      </c>
      <c r="E85" s="11" t="s">
        <v>95</v>
      </c>
      <c r="F85" s="11" t="s">
        <v>16</v>
      </c>
      <c r="G85" s="11" t="s">
        <v>347</v>
      </c>
      <c r="H85" s="11" t="s">
        <v>348</v>
      </c>
      <c r="I85" s="11" t="s">
        <v>139</v>
      </c>
      <c r="J85" s="11" t="s">
        <v>107</v>
      </c>
      <c r="K85" s="11" t="s">
        <v>100</v>
      </c>
      <c r="L85" s="31" t="n">
        <v>31138</v>
      </c>
      <c r="M85" s="11" t="s">
        <v>132</v>
      </c>
      <c r="N85" s="11" t="s">
        <v>102</v>
      </c>
      <c r="O85" s="11" t="n">
        <v>0</v>
      </c>
      <c r="P85" s="11" t="n">
        <v>0</v>
      </c>
      <c r="Q85" s="11" t="n">
        <v>37</v>
      </c>
      <c r="R85" s="11" t="s">
        <v>17</v>
      </c>
      <c r="S85" s="11" t="s">
        <v>18</v>
      </c>
    </row>
    <row r="86" customFormat="false" ht="15" hidden="false" customHeight="false" outlineLevel="0" collapsed="false">
      <c r="A86" s="4" t="s">
        <v>57</v>
      </c>
      <c r="B86" s="4" t="s">
        <v>32</v>
      </c>
      <c r="C86" s="4" t="s">
        <v>15</v>
      </c>
      <c r="D86" s="4" t="s">
        <v>349</v>
      </c>
      <c r="E86" s="4" t="s">
        <v>95</v>
      </c>
      <c r="F86" s="4" t="s">
        <v>16</v>
      </c>
      <c r="G86" s="4" t="s">
        <v>328</v>
      </c>
      <c r="H86" s="4" t="s">
        <v>124</v>
      </c>
      <c r="I86" s="4" t="s">
        <v>106</v>
      </c>
      <c r="J86" s="4" t="s">
        <v>99</v>
      </c>
      <c r="K86" s="4" t="s">
        <v>100</v>
      </c>
      <c r="L86" s="30" t="n">
        <v>30705</v>
      </c>
      <c r="M86" s="4" t="s">
        <v>132</v>
      </c>
      <c r="N86" s="4" t="s">
        <v>102</v>
      </c>
      <c r="O86" s="4" t="n">
        <v>0</v>
      </c>
      <c r="P86" s="4" t="n">
        <v>0</v>
      </c>
      <c r="Q86" s="4" t="n">
        <v>50</v>
      </c>
      <c r="R86" s="4" t="s">
        <v>17</v>
      </c>
      <c r="S86" s="4" t="s">
        <v>18</v>
      </c>
    </row>
    <row r="87" customFormat="false" ht="15" hidden="false" customHeight="false" outlineLevel="0" collapsed="false">
      <c r="A87" s="11" t="s">
        <v>57</v>
      </c>
      <c r="B87" s="11" t="s">
        <v>33</v>
      </c>
      <c r="C87" s="11" t="s">
        <v>15</v>
      </c>
      <c r="D87" s="11" t="s">
        <v>350</v>
      </c>
      <c r="E87" s="11" t="s">
        <v>95</v>
      </c>
      <c r="F87" s="11" t="s">
        <v>16</v>
      </c>
      <c r="G87" s="11" t="s">
        <v>351</v>
      </c>
      <c r="H87" s="11" t="s">
        <v>352</v>
      </c>
      <c r="I87" s="11" t="s">
        <v>106</v>
      </c>
      <c r="J87" s="11" t="s">
        <v>99</v>
      </c>
      <c r="K87" s="11" t="s">
        <v>100</v>
      </c>
      <c r="L87" s="31" t="n">
        <v>30727</v>
      </c>
      <c r="M87" s="11" t="s">
        <v>132</v>
      </c>
      <c r="N87" s="11" t="s">
        <v>102</v>
      </c>
      <c r="O87" s="11" t="n">
        <v>0</v>
      </c>
      <c r="P87" s="11" t="n">
        <v>0</v>
      </c>
      <c r="Q87" s="11" t="n">
        <v>110</v>
      </c>
      <c r="R87" s="11" t="s">
        <v>17</v>
      </c>
      <c r="S87" s="11" t="s">
        <v>18</v>
      </c>
    </row>
    <row r="88" customFormat="false" ht="15" hidden="false" customHeight="false" outlineLevel="0" collapsed="false">
      <c r="A88" s="4" t="s">
        <v>57</v>
      </c>
      <c r="B88" s="4" t="s">
        <v>34</v>
      </c>
      <c r="C88" s="4" t="s">
        <v>15</v>
      </c>
      <c r="D88" s="4" t="s">
        <v>353</v>
      </c>
      <c r="E88" s="4" t="s">
        <v>95</v>
      </c>
      <c r="F88" s="4" t="s">
        <v>16</v>
      </c>
      <c r="G88" s="4" t="s">
        <v>354</v>
      </c>
      <c r="H88" s="4" t="s">
        <v>355</v>
      </c>
      <c r="I88" s="4" t="s">
        <v>98</v>
      </c>
      <c r="J88" s="4" t="s">
        <v>99</v>
      </c>
      <c r="K88" s="4" t="s">
        <v>100</v>
      </c>
      <c r="L88" s="30" t="n">
        <v>30696</v>
      </c>
      <c r="M88" s="4" t="s">
        <v>255</v>
      </c>
      <c r="N88" s="4" t="s">
        <v>102</v>
      </c>
      <c r="O88" s="4" t="n">
        <v>0</v>
      </c>
      <c r="P88" s="4" t="n">
        <v>0</v>
      </c>
      <c r="Q88" s="4" t="n">
        <v>50</v>
      </c>
      <c r="R88" s="4" t="s">
        <v>17</v>
      </c>
      <c r="S88" s="4" t="s">
        <v>18</v>
      </c>
    </row>
    <row r="89" customFormat="false" ht="15" hidden="false" customHeight="false" outlineLevel="0" collapsed="false">
      <c r="A89" s="11" t="s">
        <v>57</v>
      </c>
      <c r="B89" s="11" t="s">
        <v>35</v>
      </c>
      <c r="C89" s="11" t="s">
        <v>15</v>
      </c>
      <c r="D89" s="11" t="s">
        <v>356</v>
      </c>
      <c r="E89" s="11" t="s">
        <v>95</v>
      </c>
      <c r="F89" s="11" t="s">
        <v>16</v>
      </c>
      <c r="G89" s="11" t="s">
        <v>357</v>
      </c>
      <c r="H89" s="11" t="s">
        <v>168</v>
      </c>
      <c r="I89" s="11" t="s">
        <v>98</v>
      </c>
      <c r="J89" s="11" t="s">
        <v>107</v>
      </c>
      <c r="K89" s="11" t="s">
        <v>100</v>
      </c>
      <c r="L89" s="31" t="n">
        <v>30769</v>
      </c>
      <c r="M89" s="11" t="s">
        <v>132</v>
      </c>
      <c r="N89" s="11" t="s">
        <v>102</v>
      </c>
      <c r="O89" s="11" t="n">
        <v>0</v>
      </c>
      <c r="P89" s="11" t="n">
        <v>0</v>
      </c>
      <c r="Q89" s="11" t="n">
        <v>60</v>
      </c>
      <c r="R89" s="11" t="s">
        <v>17</v>
      </c>
      <c r="S89" s="11" t="s">
        <v>18</v>
      </c>
    </row>
    <row r="90" customFormat="false" ht="15" hidden="false" customHeight="false" outlineLevel="0" collapsed="false">
      <c r="A90" s="4" t="s">
        <v>57</v>
      </c>
      <c r="B90" s="4" t="s">
        <v>36</v>
      </c>
      <c r="C90" s="4" t="s">
        <v>15</v>
      </c>
      <c r="D90" s="4" t="s">
        <v>358</v>
      </c>
      <c r="E90" s="4" t="s">
        <v>95</v>
      </c>
      <c r="F90" s="4" t="s">
        <v>16</v>
      </c>
      <c r="G90" s="4" t="s">
        <v>359</v>
      </c>
      <c r="H90" s="4" t="s">
        <v>360</v>
      </c>
      <c r="I90" s="4" t="s">
        <v>106</v>
      </c>
      <c r="J90" s="4" t="s">
        <v>107</v>
      </c>
      <c r="K90" s="4" t="s">
        <v>100</v>
      </c>
      <c r="L90" s="30" t="n">
        <v>30699</v>
      </c>
      <c r="M90" s="4" t="s">
        <v>132</v>
      </c>
      <c r="N90" s="4" t="s">
        <v>102</v>
      </c>
      <c r="O90" s="4" t="n">
        <v>0</v>
      </c>
      <c r="P90" s="4" t="n">
        <v>0</v>
      </c>
      <c r="Q90" s="4" t="n">
        <v>57</v>
      </c>
      <c r="R90" s="4" t="s">
        <v>17</v>
      </c>
      <c r="S90" s="4" t="s">
        <v>18</v>
      </c>
    </row>
    <row r="91" customFormat="false" ht="15" hidden="false" customHeight="false" outlineLevel="0" collapsed="false">
      <c r="A91" s="11" t="s">
        <v>57</v>
      </c>
      <c r="B91" s="11" t="s">
        <v>49</v>
      </c>
      <c r="C91" s="11" t="s">
        <v>15</v>
      </c>
      <c r="D91" s="11" t="s">
        <v>361</v>
      </c>
      <c r="E91" s="11" t="s">
        <v>95</v>
      </c>
      <c r="F91" s="11" t="s">
        <v>16</v>
      </c>
      <c r="G91" s="11" t="s">
        <v>362</v>
      </c>
      <c r="H91" s="11" t="s">
        <v>363</v>
      </c>
      <c r="I91" s="11" t="s">
        <v>106</v>
      </c>
      <c r="J91" s="11" t="s">
        <v>99</v>
      </c>
      <c r="K91" s="11" t="s">
        <v>100</v>
      </c>
      <c r="L91" s="31" t="n">
        <v>30717</v>
      </c>
      <c r="M91" s="11" t="s">
        <v>132</v>
      </c>
      <c r="N91" s="11" t="s">
        <v>102</v>
      </c>
      <c r="O91" s="11" t="n">
        <v>0</v>
      </c>
      <c r="P91" s="11" t="n">
        <v>0</v>
      </c>
      <c r="Q91" s="11" t="n">
        <v>106</v>
      </c>
      <c r="R91" s="11" t="s">
        <v>17</v>
      </c>
      <c r="S91" s="11" t="s">
        <v>18</v>
      </c>
    </row>
    <row r="92" customFormat="false" ht="15" hidden="false" customHeight="false" outlineLevel="0" collapsed="false">
      <c r="A92" s="4" t="s">
        <v>57</v>
      </c>
      <c r="B92" s="4" t="s">
        <v>37</v>
      </c>
      <c r="C92" s="4" t="s">
        <v>15</v>
      </c>
      <c r="D92" s="4" t="s">
        <v>364</v>
      </c>
      <c r="E92" s="4" t="s">
        <v>95</v>
      </c>
      <c r="F92" s="4" t="s">
        <v>16</v>
      </c>
      <c r="G92" s="4" t="s">
        <v>365</v>
      </c>
      <c r="H92" s="4" t="s">
        <v>366</v>
      </c>
      <c r="I92" s="4" t="s">
        <v>106</v>
      </c>
      <c r="J92" s="4" t="s">
        <v>107</v>
      </c>
      <c r="K92" s="4" t="s">
        <v>100</v>
      </c>
      <c r="L92" s="30" t="n">
        <v>30745</v>
      </c>
      <c r="M92" s="4" t="s">
        <v>132</v>
      </c>
      <c r="N92" s="4" t="s">
        <v>102</v>
      </c>
      <c r="O92" s="4" t="n">
        <v>0</v>
      </c>
      <c r="P92" s="4" t="n">
        <v>0</v>
      </c>
      <c r="Q92" s="4" t="n">
        <v>54</v>
      </c>
      <c r="R92" s="4" t="s">
        <v>17</v>
      </c>
      <c r="S92" s="4" t="s">
        <v>18</v>
      </c>
    </row>
    <row r="93" customFormat="false" ht="15" hidden="false" customHeight="false" outlineLevel="0" collapsed="false">
      <c r="A93" s="11" t="s">
        <v>57</v>
      </c>
      <c r="B93" s="11" t="s">
        <v>38</v>
      </c>
      <c r="C93" s="11" t="s">
        <v>15</v>
      </c>
      <c r="D93" s="11" t="s">
        <v>367</v>
      </c>
      <c r="E93" s="11" t="s">
        <v>95</v>
      </c>
      <c r="F93" s="11" t="s">
        <v>16</v>
      </c>
      <c r="G93" s="11" t="s">
        <v>368</v>
      </c>
      <c r="H93" s="11" t="s">
        <v>369</v>
      </c>
      <c r="I93" s="11" t="s">
        <v>178</v>
      </c>
      <c r="J93" s="11" t="s">
        <v>107</v>
      </c>
      <c r="K93" s="11" t="s">
        <v>100</v>
      </c>
      <c r="L93" s="31" t="n">
        <v>22511</v>
      </c>
      <c r="M93" s="11" t="s">
        <v>132</v>
      </c>
      <c r="N93" s="11" t="s">
        <v>102</v>
      </c>
      <c r="O93" s="11" t="n">
        <v>0</v>
      </c>
      <c r="P93" s="11" t="n">
        <v>0</v>
      </c>
      <c r="Q93" s="11" t="n">
        <v>83</v>
      </c>
      <c r="R93" s="11" t="s">
        <v>17</v>
      </c>
      <c r="S93" s="11" t="s">
        <v>18</v>
      </c>
    </row>
    <row r="94" customFormat="false" ht="15" hidden="false" customHeight="false" outlineLevel="0" collapsed="false">
      <c r="A94" s="4" t="s">
        <v>57</v>
      </c>
      <c r="B94" s="4" t="s">
        <v>39</v>
      </c>
      <c r="C94" s="4" t="s">
        <v>15</v>
      </c>
      <c r="D94" s="4" t="s">
        <v>370</v>
      </c>
      <c r="E94" s="4" t="s">
        <v>95</v>
      </c>
      <c r="F94" s="4" t="s">
        <v>16</v>
      </c>
      <c r="G94" s="4" t="s">
        <v>371</v>
      </c>
      <c r="H94" s="4" t="s">
        <v>372</v>
      </c>
      <c r="I94" s="4" t="s">
        <v>106</v>
      </c>
      <c r="J94" s="4" t="s">
        <v>99</v>
      </c>
      <c r="K94" s="4" t="s">
        <v>100</v>
      </c>
      <c r="L94" s="30" t="n">
        <v>30706</v>
      </c>
      <c r="M94" s="4" t="s">
        <v>132</v>
      </c>
      <c r="N94" s="4" t="s">
        <v>102</v>
      </c>
      <c r="O94" s="4" t="n">
        <v>0</v>
      </c>
      <c r="P94" s="4" t="n">
        <v>0</v>
      </c>
      <c r="Q94" s="4" t="n">
        <v>60</v>
      </c>
      <c r="R94" s="4" t="s">
        <v>17</v>
      </c>
      <c r="S94" s="4" t="s">
        <v>18</v>
      </c>
    </row>
    <row r="95" customFormat="false" ht="15" hidden="false" customHeight="false" outlineLevel="0" collapsed="false">
      <c r="A95" s="11" t="s">
        <v>57</v>
      </c>
      <c r="B95" s="11" t="s">
        <v>40</v>
      </c>
      <c r="C95" s="11" t="s">
        <v>15</v>
      </c>
      <c r="D95" s="11" t="s">
        <v>373</v>
      </c>
      <c r="E95" s="11" t="s">
        <v>95</v>
      </c>
      <c r="F95" s="11" t="s">
        <v>16</v>
      </c>
      <c r="G95" s="11" t="s">
        <v>374</v>
      </c>
      <c r="H95" s="11" t="s">
        <v>375</v>
      </c>
      <c r="I95" s="11" t="s">
        <v>106</v>
      </c>
      <c r="J95" s="11" t="s">
        <v>99</v>
      </c>
      <c r="K95" s="11" t="s">
        <v>100</v>
      </c>
      <c r="L95" s="31" t="n">
        <v>30703</v>
      </c>
      <c r="M95" s="11" t="s">
        <v>132</v>
      </c>
      <c r="N95" s="11" t="s">
        <v>102</v>
      </c>
      <c r="O95" s="11" t="n">
        <v>0</v>
      </c>
      <c r="P95" s="11" t="n">
        <v>0</v>
      </c>
      <c r="Q95" s="11" t="n">
        <v>52</v>
      </c>
      <c r="R95" s="11" t="s">
        <v>17</v>
      </c>
      <c r="S95" s="11" t="s">
        <v>18</v>
      </c>
    </row>
    <row r="96" customFormat="false" ht="15" hidden="false" customHeight="false" outlineLevel="0" collapsed="false">
      <c r="A96" s="4" t="s">
        <v>57</v>
      </c>
      <c r="B96" s="4" t="s">
        <v>41</v>
      </c>
      <c r="C96" s="4" t="s">
        <v>15</v>
      </c>
      <c r="D96" s="4" t="s">
        <v>376</v>
      </c>
      <c r="E96" s="4" t="s">
        <v>95</v>
      </c>
      <c r="F96" s="4" t="s">
        <v>16</v>
      </c>
      <c r="G96" s="4" t="s">
        <v>257</v>
      </c>
      <c r="H96" s="4" t="s">
        <v>213</v>
      </c>
      <c r="I96" s="4" t="s">
        <v>106</v>
      </c>
      <c r="J96" s="4" t="s">
        <v>107</v>
      </c>
      <c r="K96" s="4" t="s">
        <v>100</v>
      </c>
      <c r="L96" s="30" t="n">
        <v>30745</v>
      </c>
      <c r="M96" s="4" t="s">
        <v>132</v>
      </c>
      <c r="N96" s="4" t="s">
        <v>102</v>
      </c>
      <c r="O96" s="4" t="n">
        <v>0</v>
      </c>
      <c r="P96" s="4" t="n">
        <v>0</v>
      </c>
      <c r="Q96" s="4" t="n">
        <v>49</v>
      </c>
      <c r="R96" s="4" t="s">
        <v>17</v>
      </c>
      <c r="S96" s="4" t="s">
        <v>18</v>
      </c>
    </row>
    <row r="97" customFormat="false" ht="15" hidden="false" customHeight="false" outlineLevel="0" collapsed="false">
      <c r="A97" s="11" t="s">
        <v>58</v>
      </c>
      <c r="B97" s="11" t="s">
        <v>14</v>
      </c>
      <c r="C97" s="11" t="s">
        <v>15</v>
      </c>
      <c r="D97" s="11" t="s">
        <v>377</v>
      </c>
      <c r="E97" s="11" t="s">
        <v>95</v>
      </c>
      <c r="F97" s="11" t="s">
        <v>16</v>
      </c>
      <c r="G97" s="11" t="s">
        <v>378</v>
      </c>
      <c r="H97" s="11" t="s">
        <v>379</v>
      </c>
      <c r="I97" s="11" t="s">
        <v>98</v>
      </c>
      <c r="J97" s="11" t="s">
        <v>99</v>
      </c>
      <c r="K97" s="11" t="s">
        <v>100</v>
      </c>
      <c r="L97" s="31" t="n">
        <v>30742</v>
      </c>
      <c r="M97" s="11" t="s">
        <v>132</v>
      </c>
      <c r="N97" s="11" t="s">
        <v>102</v>
      </c>
      <c r="O97" s="11" t="n">
        <v>0</v>
      </c>
      <c r="P97" s="11" t="n">
        <v>0</v>
      </c>
      <c r="Q97" s="11" t="n">
        <v>57</v>
      </c>
      <c r="R97" s="11" t="s">
        <v>17</v>
      </c>
      <c r="S97" s="11" t="s">
        <v>18</v>
      </c>
    </row>
    <row r="98" customFormat="false" ht="15" hidden="false" customHeight="false" outlineLevel="0" collapsed="false">
      <c r="A98" s="4" t="s">
        <v>58</v>
      </c>
      <c r="B98" s="4" t="s">
        <v>20</v>
      </c>
      <c r="C98" s="4" t="s">
        <v>15</v>
      </c>
      <c r="D98" s="4" t="s">
        <v>380</v>
      </c>
      <c r="E98" s="4" t="s">
        <v>95</v>
      </c>
      <c r="F98" s="4" t="s">
        <v>16</v>
      </c>
      <c r="G98" s="4" t="s">
        <v>381</v>
      </c>
      <c r="H98" s="4" t="s">
        <v>258</v>
      </c>
      <c r="I98" s="4" t="s">
        <v>106</v>
      </c>
      <c r="J98" s="4" t="s">
        <v>99</v>
      </c>
      <c r="K98" s="4" t="s">
        <v>100</v>
      </c>
      <c r="L98" s="30" t="n">
        <v>30696</v>
      </c>
      <c r="M98" s="4" t="s">
        <v>132</v>
      </c>
      <c r="N98" s="4" t="s">
        <v>102</v>
      </c>
      <c r="O98" s="4" t="n">
        <v>0</v>
      </c>
      <c r="P98" s="4" t="n">
        <v>0</v>
      </c>
      <c r="Q98" s="4" t="n">
        <v>48</v>
      </c>
      <c r="R98" s="4" t="s">
        <v>17</v>
      </c>
      <c r="S98" s="4" t="s">
        <v>18</v>
      </c>
    </row>
    <row r="99" customFormat="false" ht="15" hidden="false" customHeight="false" outlineLevel="0" collapsed="false">
      <c r="A99" s="11" t="s">
        <v>58</v>
      </c>
      <c r="B99" s="11" t="s">
        <v>21</v>
      </c>
      <c r="C99" s="11" t="s">
        <v>15</v>
      </c>
      <c r="D99" s="11" t="s">
        <v>382</v>
      </c>
      <c r="E99" s="11" t="s">
        <v>95</v>
      </c>
      <c r="F99" s="11" t="s">
        <v>16</v>
      </c>
      <c r="G99" s="11" t="s">
        <v>383</v>
      </c>
      <c r="H99" s="11" t="s">
        <v>165</v>
      </c>
      <c r="I99" s="11" t="s">
        <v>106</v>
      </c>
      <c r="J99" s="11" t="s">
        <v>107</v>
      </c>
      <c r="K99" s="11" t="s">
        <v>100</v>
      </c>
      <c r="L99" s="31" t="n">
        <v>30709</v>
      </c>
      <c r="M99" s="11" t="s">
        <v>132</v>
      </c>
      <c r="N99" s="11" t="s">
        <v>102</v>
      </c>
      <c r="O99" s="11" t="n">
        <v>0</v>
      </c>
      <c r="P99" s="11" t="n">
        <v>0</v>
      </c>
      <c r="Q99" s="11" t="n">
        <v>77</v>
      </c>
      <c r="R99" s="11" t="s">
        <v>17</v>
      </c>
      <c r="S99" s="11" t="s">
        <v>18</v>
      </c>
    </row>
    <row r="100" customFormat="false" ht="15" hidden="false" customHeight="false" outlineLevel="0" collapsed="false">
      <c r="A100" s="4" t="s">
        <v>58</v>
      </c>
      <c r="B100" s="4" t="s">
        <v>22</v>
      </c>
      <c r="C100" s="4" t="s">
        <v>15</v>
      </c>
      <c r="D100" s="4" t="s">
        <v>384</v>
      </c>
      <c r="E100" s="4" t="s">
        <v>95</v>
      </c>
      <c r="F100" s="4" t="s">
        <v>16</v>
      </c>
      <c r="G100" s="4" t="s">
        <v>362</v>
      </c>
      <c r="H100" s="4" t="s">
        <v>105</v>
      </c>
      <c r="I100" s="4" t="s">
        <v>98</v>
      </c>
      <c r="J100" s="4" t="s">
        <v>107</v>
      </c>
      <c r="K100" s="4" t="s">
        <v>100</v>
      </c>
      <c r="L100" s="30" t="n">
        <v>30768</v>
      </c>
      <c r="M100" s="4" t="s">
        <v>132</v>
      </c>
      <c r="N100" s="4" t="s">
        <v>102</v>
      </c>
      <c r="O100" s="4" t="n">
        <v>0</v>
      </c>
      <c r="P100" s="4" t="n">
        <v>0</v>
      </c>
      <c r="Q100" s="4" t="n">
        <v>59</v>
      </c>
      <c r="R100" s="4" t="s">
        <v>17</v>
      </c>
      <c r="S100" s="4" t="s">
        <v>18</v>
      </c>
    </row>
    <row r="101" customFormat="false" ht="15" hidden="false" customHeight="false" outlineLevel="0" collapsed="false">
      <c r="A101" s="11" t="s">
        <v>58</v>
      </c>
      <c r="B101" s="11" t="s">
        <v>23</v>
      </c>
      <c r="C101" s="11" t="s">
        <v>15</v>
      </c>
      <c r="D101" s="11" t="s">
        <v>385</v>
      </c>
      <c r="E101" s="11" t="s">
        <v>95</v>
      </c>
      <c r="F101" s="11" t="s">
        <v>16</v>
      </c>
      <c r="G101" s="11" t="s">
        <v>386</v>
      </c>
      <c r="H101" s="11" t="s">
        <v>152</v>
      </c>
      <c r="I101" s="11" t="s">
        <v>98</v>
      </c>
      <c r="J101" s="11" t="s">
        <v>107</v>
      </c>
      <c r="K101" s="11" t="s">
        <v>100</v>
      </c>
      <c r="L101" s="31" t="n">
        <v>30701</v>
      </c>
      <c r="M101" s="11" t="s">
        <v>132</v>
      </c>
      <c r="N101" s="11" t="s">
        <v>102</v>
      </c>
      <c r="O101" s="11" t="n">
        <v>0</v>
      </c>
      <c r="P101" s="11" t="n">
        <v>0</v>
      </c>
      <c r="Q101" s="11" t="n">
        <v>50</v>
      </c>
      <c r="R101" s="11" t="s">
        <v>17</v>
      </c>
      <c r="S101" s="11" t="s">
        <v>18</v>
      </c>
    </row>
    <row r="102" customFormat="false" ht="15" hidden="false" customHeight="false" outlineLevel="0" collapsed="false">
      <c r="A102" s="4" t="s">
        <v>58</v>
      </c>
      <c r="B102" s="4" t="s">
        <v>24</v>
      </c>
      <c r="C102" s="4" t="s">
        <v>15</v>
      </c>
      <c r="D102" s="4" t="s">
        <v>387</v>
      </c>
      <c r="E102" s="4" t="s">
        <v>95</v>
      </c>
      <c r="F102" s="4" t="s">
        <v>16</v>
      </c>
      <c r="G102" s="4" t="s">
        <v>383</v>
      </c>
      <c r="H102" s="4" t="s">
        <v>388</v>
      </c>
      <c r="I102" s="4" t="s">
        <v>106</v>
      </c>
      <c r="J102" s="4" t="s">
        <v>107</v>
      </c>
      <c r="K102" s="4" t="s">
        <v>100</v>
      </c>
      <c r="L102" s="30" t="n">
        <v>30707</v>
      </c>
      <c r="M102" s="4" t="s">
        <v>132</v>
      </c>
      <c r="N102" s="4" t="s">
        <v>102</v>
      </c>
      <c r="O102" s="4" t="n">
        <v>0</v>
      </c>
      <c r="P102" s="4" t="n">
        <v>0</v>
      </c>
      <c r="Q102" s="4" t="n">
        <v>59</v>
      </c>
      <c r="R102" s="4" t="s">
        <v>17</v>
      </c>
      <c r="S102" s="4" t="s">
        <v>18</v>
      </c>
    </row>
    <row r="103" customFormat="false" ht="15" hidden="false" customHeight="false" outlineLevel="0" collapsed="false">
      <c r="A103" s="11" t="s">
        <v>58</v>
      </c>
      <c r="B103" s="11" t="s">
        <v>25</v>
      </c>
      <c r="C103" s="11" t="s">
        <v>15</v>
      </c>
      <c r="D103" s="11" t="s">
        <v>389</v>
      </c>
      <c r="E103" s="11" t="s">
        <v>95</v>
      </c>
      <c r="F103" s="11" t="s">
        <v>16</v>
      </c>
      <c r="G103" s="11" t="s">
        <v>158</v>
      </c>
      <c r="H103" s="11" t="s">
        <v>105</v>
      </c>
      <c r="I103" s="11" t="s">
        <v>98</v>
      </c>
      <c r="J103" s="11" t="s">
        <v>107</v>
      </c>
      <c r="K103" s="11" t="s">
        <v>100</v>
      </c>
      <c r="L103" s="31" t="n">
        <v>30695</v>
      </c>
      <c r="M103" s="11" t="s">
        <v>132</v>
      </c>
      <c r="N103" s="11" t="s">
        <v>102</v>
      </c>
      <c r="O103" s="11" t="n">
        <v>0</v>
      </c>
      <c r="P103" s="11" t="n">
        <v>0</v>
      </c>
      <c r="Q103" s="11" t="n">
        <v>46</v>
      </c>
      <c r="R103" s="11" t="s">
        <v>17</v>
      </c>
      <c r="S103" s="11" t="s">
        <v>18</v>
      </c>
    </row>
    <row r="104" customFormat="false" ht="15" hidden="false" customHeight="false" outlineLevel="0" collapsed="false">
      <c r="A104" s="4" t="s">
        <v>58</v>
      </c>
      <c r="B104" s="4" t="s">
        <v>26</v>
      </c>
      <c r="C104" s="4" t="s">
        <v>15</v>
      </c>
      <c r="D104" s="4" t="s">
        <v>390</v>
      </c>
      <c r="E104" s="4" t="s">
        <v>95</v>
      </c>
      <c r="F104" s="4" t="s">
        <v>16</v>
      </c>
      <c r="G104" s="4" t="s">
        <v>383</v>
      </c>
      <c r="H104" s="4" t="s">
        <v>391</v>
      </c>
      <c r="I104" s="4" t="s">
        <v>106</v>
      </c>
      <c r="J104" s="4" t="s">
        <v>99</v>
      </c>
      <c r="K104" s="4" t="s">
        <v>100</v>
      </c>
      <c r="L104" s="30" t="n">
        <v>30717</v>
      </c>
      <c r="M104" s="4" t="s">
        <v>132</v>
      </c>
      <c r="N104" s="4" t="s">
        <v>102</v>
      </c>
      <c r="O104" s="4" t="n">
        <v>0</v>
      </c>
      <c r="P104" s="4" t="n">
        <v>0</v>
      </c>
      <c r="Q104" s="4" t="n">
        <v>59</v>
      </c>
      <c r="R104" s="4" t="s">
        <v>17</v>
      </c>
      <c r="S104" s="4" t="s">
        <v>18</v>
      </c>
    </row>
    <row r="105" customFormat="false" ht="15" hidden="false" customHeight="false" outlineLevel="0" collapsed="false">
      <c r="A105" s="11" t="s">
        <v>58</v>
      </c>
      <c r="B105" s="11" t="s">
        <v>27</v>
      </c>
      <c r="C105" s="11" t="s">
        <v>15</v>
      </c>
      <c r="D105" s="11" t="s">
        <v>392</v>
      </c>
      <c r="E105" s="11" t="s">
        <v>95</v>
      </c>
      <c r="F105" s="11" t="s">
        <v>16</v>
      </c>
      <c r="G105" s="11" t="s">
        <v>173</v>
      </c>
      <c r="H105" s="11" t="s">
        <v>393</v>
      </c>
      <c r="I105" s="11" t="s">
        <v>139</v>
      </c>
      <c r="J105" s="11" t="s">
        <v>107</v>
      </c>
      <c r="K105" s="11" t="s">
        <v>100</v>
      </c>
      <c r="L105" s="31" t="n">
        <v>31136</v>
      </c>
      <c r="M105" s="11" t="s">
        <v>255</v>
      </c>
      <c r="N105" s="11" t="s">
        <v>102</v>
      </c>
      <c r="O105" s="11" t="n">
        <v>0</v>
      </c>
      <c r="P105" s="11" t="n">
        <v>0</v>
      </c>
      <c r="Q105" s="11" t="n">
        <v>40</v>
      </c>
      <c r="R105" s="11" t="s">
        <v>17</v>
      </c>
      <c r="S105" s="11" t="s">
        <v>18</v>
      </c>
    </row>
    <row r="106" customFormat="false" ht="15" hidden="false" customHeight="false" outlineLevel="0" collapsed="false">
      <c r="A106" s="4" t="s">
        <v>58</v>
      </c>
      <c r="B106" s="4" t="s">
        <v>28</v>
      </c>
      <c r="C106" s="4" t="s">
        <v>15</v>
      </c>
      <c r="D106" s="4" t="s">
        <v>394</v>
      </c>
      <c r="E106" s="4" t="s">
        <v>95</v>
      </c>
      <c r="F106" s="4" t="s">
        <v>16</v>
      </c>
      <c r="G106" s="4" t="s">
        <v>395</v>
      </c>
      <c r="H106" s="4" t="s">
        <v>112</v>
      </c>
      <c r="I106" s="4" t="s">
        <v>106</v>
      </c>
      <c r="J106" s="4" t="s">
        <v>107</v>
      </c>
      <c r="K106" s="4" t="s">
        <v>100</v>
      </c>
      <c r="L106" s="30" t="n">
        <v>30716</v>
      </c>
      <c r="M106" s="4" t="s">
        <v>132</v>
      </c>
      <c r="N106" s="4" t="s">
        <v>102</v>
      </c>
      <c r="O106" s="4" t="n">
        <v>0</v>
      </c>
      <c r="P106" s="4" t="n">
        <v>0</v>
      </c>
      <c r="Q106" s="4" t="n">
        <v>113</v>
      </c>
      <c r="R106" s="4" t="s">
        <v>17</v>
      </c>
      <c r="S106" s="4" t="s">
        <v>18</v>
      </c>
    </row>
    <row r="107" customFormat="false" ht="15" hidden="false" customHeight="false" outlineLevel="0" collapsed="false">
      <c r="A107" s="11" t="s">
        <v>58</v>
      </c>
      <c r="B107" s="11" t="s">
        <v>29</v>
      </c>
      <c r="C107" s="11" t="s">
        <v>15</v>
      </c>
      <c r="D107" s="11" t="s">
        <v>396</v>
      </c>
      <c r="E107" s="11" t="s">
        <v>95</v>
      </c>
      <c r="F107" s="11" t="s">
        <v>16</v>
      </c>
      <c r="G107" s="11" t="s">
        <v>224</v>
      </c>
      <c r="H107" s="11" t="s">
        <v>171</v>
      </c>
      <c r="I107" s="11" t="s">
        <v>106</v>
      </c>
      <c r="J107" s="11" t="s">
        <v>99</v>
      </c>
      <c r="K107" s="11" t="s">
        <v>100</v>
      </c>
      <c r="L107" s="31" t="n">
        <v>30697</v>
      </c>
      <c r="M107" s="11" t="s">
        <v>132</v>
      </c>
      <c r="N107" s="11" t="s">
        <v>102</v>
      </c>
      <c r="O107" s="11" t="n">
        <v>0</v>
      </c>
      <c r="P107" s="11" t="n">
        <v>0</v>
      </c>
      <c r="Q107" s="11" t="n">
        <v>60</v>
      </c>
      <c r="R107" s="11" t="s">
        <v>17</v>
      </c>
      <c r="S107" s="11" t="s">
        <v>18</v>
      </c>
    </row>
    <row r="108" customFormat="false" ht="15" hidden="false" customHeight="false" outlineLevel="0" collapsed="false">
      <c r="A108" s="4" t="s">
        <v>58</v>
      </c>
      <c r="B108" s="4" t="s">
        <v>30</v>
      </c>
      <c r="C108" s="4" t="s">
        <v>15</v>
      </c>
      <c r="D108" s="4" t="s">
        <v>397</v>
      </c>
      <c r="E108" s="4" t="s">
        <v>95</v>
      </c>
      <c r="F108" s="4" t="s">
        <v>16</v>
      </c>
      <c r="G108" s="4" t="s">
        <v>398</v>
      </c>
      <c r="H108" s="4" t="s">
        <v>399</v>
      </c>
      <c r="I108" s="4" t="s">
        <v>106</v>
      </c>
      <c r="J108" s="4" t="s">
        <v>99</v>
      </c>
      <c r="K108" s="4" t="s">
        <v>100</v>
      </c>
      <c r="L108" s="30" t="n">
        <v>30716</v>
      </c>
      <c r="M108" s="4" t="s">
        <v>132</v>
      </c>
      <c r="N108" s="4" t="s">
        <v>102</v>
      </c>
      <c r="O108" s="4" t="n">
        <v>0</v>
      </c>
      <c r="P108" s="4" t="n">
        <v>0</v>
      </c>
      <c r="Q108" s="4" t="n">
        <v>63</v>
      </c>
      <c r="R108" s="4" t="s">
        <v>17</v>
      </c>
      <c r="S108" s="4" t="s">
        <v>18</v>
      </c>
    </row>
    <row r="109" customFormat="false" ht="15" hidden="false" customHeight="false" outlineLevel="0" collapsed="false">
      <c r="A109" s="11" t="s">
        <v>58</v>
      </c>
      <c r="B109" s="11" t="s">
        <v>31</v>
      </c>
      <c r="C109" s="11" t="s">
        <v>15</v>
      </c>
      <c r="D109" s="11" t="s">
        <v>400</v>
      </c>
      <c r="E109" s="11" t="s">
        <v>95</v>
      </c>
      <c r="F109" s="11" t="s">
        <v>16</v>
      </c>
      <c r="G109" s="11" t="s">
        <v>134</v>
      </c>
      <c r="H109" s="11" t="s">
        <v>110</v>
      </c>
      <c r="I109" s="11" t="s">
        <v>98</v>
      </c>
      <c r="J109" s="11" t="s">
        <v>107</v>
      </c>
      <c r="K109" s="11" t="s">
        <v>100</v>
      </c>
      <c r="L109" s="31" t="n">
        <v>30691</v>
      </c>
      <c r="M109" s="11" t="s">
        <v>132</v>
      </c>
      <c r="N109" s="11" t="s">
        <v>102</v>
      </c>
      <c r="O109" s="11" t="n">
        <v>0</v>
      </c>
      <c r="P109" s="11" t="n">
        <v>0</v>
      </c>
      <c r="Q109" s="11" t="n">
        <v>47</v>
      </c>
      <c r="R109" s="11" t="s">
        <v>17</v>
      </c>
      <c r="S109" s="11" t="s">
        <v>18</v>
      </c>
    </row>
    <row r="110" customFormat="false" ht="15" hidden="false" customHeight="false" outlineLevel="0" collapsed="false">
      <c r="A110" s="4" t="s">
        <v>58</v>
      </c>
      <c r="B110" s="4" t="s">
        <v>32</v>
      </c>
      <c r="C110" s="4" t="s">
        <v>15</v>
      </c>
      <c r="D110" s="4" t="s">
        <v>401</v>
      </c>
      <c r="E110" s="4" t="s">
        <v>95</v>
      </c>
      <c r="F110" s="4" t="s">
        <v>16</v>
      </c>
      <c r="G110" s="4" t="s">
        <v>250</v>
      </c>
      <c r="H110" s="4" t="s">
        <v>402</v>
      </c>
      <c r="I110" s="4" t="s">
        <v>139</v>
      </c>
      <c r="J110" s="4" t="s">
        <v>107</v>
      </c>
      <c r="K110" s="4" t="s">
        <v>100</v>
      </c>
      <c r="L110" s="30" t="n">
        <v>31136</v>
      </c>
      <c r="M110" s="4" t="s">
        <v>132</v>
      </c>
      <c r="N110" s="4" t="s">
        <v>102</v>
      </c>
      <c r="O110" s="4" t="n">
        <v>0</v>
      </c>
      <c r="P110" s="4" t="n">
        <v>0</v>
      </c>
      <c r="Q110" s="4" t="n">
        <v>40</v>
      </c>
      <c r="R110" s="4" t="s">
        <v>17</v>
      </c>
      <c r="S110" s="4" t="s">
        <v>18</v>
      </c>
    </row>
    <row r="111" customFormat="false" ht="15" hidden="false" customHeight="false" outlineLevel="0" collapsed="false">
      <c r="A111" s="11" t="s">
        <v>58</v>
      </c>
      <c r="B111" s="11" t="s">
        <v>33</v>
      </c>
      <c r="C111" s="11" t="s">
        <v>15</v>
      </c>
      <c r="D111" s="11" t="s">
        <v>403</v>
      </c>
      <c r="E111" s="11" t="s">
        <v>95</v>
      </c>
      <c r="F111" s="11" t="s">
        <v>16</v>
      </c>
      <c r="G111" s="11" t="s">
        <v>404</v>
      </c>
      <c r="H111" s="11" t="s">
        <v>405</v>
      </c>
      <c r="I111" s="11" t="s">
        <v>139</v>
      </c>
      <c r="J111" s="11" t="s">
        <v>107</v>
      </c>
      <c r="K111" s="11" t="s">
        <v>100</v>
      </c>
      <c r="L111" s="31" t="n">
        <v>31135</v>
      </c>
      <c r="M111" s="11" t="s">
        <v>180</v>
      </c>
      <c r="N111" s="11" t="s">
        <v>102</v>
      </c>
      <c r="O111" s="11" t="n">
        <v>0</v>
      </c>
      <c r="P111" s="11" t="n">
        <v>0</v>
      </c>
      <c r="Q111" s="11" t="n">
        <v>40</v>
      </c>
      <c r="R111" s="11" t="s">
        <v>17</v>
      </c>
      <c r="S111" s="11" t="s">
        <v>18</v>
      </c>
    </row>
    <row r="112" customFormat="false" ht="15" hidden="false" customHeight="false" outlineLevel="0" collapsed="false">
      <c r="A112" s="4" t="s">
        <v>58</v>
      </c>
      <c r="B112" s="4" t="s">
        <v>34</v>
      </c>
      <c r="C112" s="4" t="s">
        <v>15</v>
      </c>
      <c r="D112" s="4" t="s">
        <v>406</v>
      </c>
      <c r="E112" s="4" t="s">
        <v>95</v>
      </c>
      <c r="F112" s="4" t="s">
        <v>16</v>
      </c>
      <c r="G112" s="4" t="s">
        <v>407</v>
      </c>
      <c r="H112" s="4" t="s">
        <v>236</v>
      </c>
      <c r="I112" s="4" t="s">
        <v>106</v>
      </c>
      <c r="J112" s="4" t="s">
        <v>99</v>
      </c>
      <c r="K112" s="4" t="s">
        <v>100</v>
      </c>
      <c r="L112" s="30" t="n">
        <v>30594</v>
      </c>
      <c r="M112" s="4" t="s">
        <v>255</v>
      </c>
      <c r="N112" s="4" t="s">
        <v>102</v>
      </c>
      <c r="O112" s="4" t="n">
        <v>0</v>
      </c>
      <c r="P112" s="4" t="n">
        <v>0</v>
      </c>
      <c r="Q112" s="4" t="n">
        <v>46</v>
      </c>
      <c r="R112" s="4" t="s">
        <v>17</v>
      </c>
      <c r="S112" s="4" t="s">
        <v>18</v>
      </c>
    </row>
    <row r="113" customFormat="false" ht="15" hidden="false" customHeight="false" outlineLevel="0" collapsed="false">
      <c r="A113" s="11" t="s">
        <v>58</v>
      </c>
      <c r="B113" s="11" t="s">
        <v>35</v>
      </c>
      <c r="C113" s="11" t="s">
        <v>15</v>
      </c>
      <c r="D113" s="11" t="s">
        <v>408</v>
      </c>
      <c r="E113" s="11" t="s">
        <v>95</v>
      </c>
      <c r="F113" s="11" t="s">
        <v>16</v>
      </c>
      <c r="G113" s="11" t="s">
        <v>399</v>
      </c>
      <c r="H113" s="11" t="s">
        <v>409</v>
      </c>
      <c r="I113" s="11" t="s">
        <v>139</v>
      </c>
      <c r="J113" s="11" t="s">
        <v>107</v>
      </c>
      <c r="K113" s="11" t="s">
        <v>100</v>
      </c>
      <c r="L113" s="31" t="n">
        <v>31135</v>
      </c>
      <c r="M113" s="11" t="s">
        <v>180</v>
      </c>
      <c r="N113" s="11" t="s">
        <v>102</v>
      </c>
      <c r="O113" s="11" t="n">
        <v>0</v>
      </c>
      <c r="P113" s="11" t="n">
        <v>0</v>
      </c>
      <c r="Q113" s="11" t="n">
        <v>36</v>
      </c>
      <c r="R113" s="11" t="s">
        <v>17</v>
      </c>
      <c r="S113" s="11" t="s">
        <v>18</v>
      </c>
    </row>
    <row r="114" customFormat="false" ht="15" hidden="false" customHeight="false" outlineLevel="0" collapsed="false">
      <c r="A114" s="4" t="s">
        <v>58</v>
      </c>
      <c r="B114" s="4" t="s">
        <v>36</v>
      </c>
      <c r="C114" s="4" t="s">
        <v>15</v>
      </c>
      <c r="D114" s="4" t="s">
        <v>410</v>
      </c>
      <c r="E114" s="4" t="s">
        <v>95</v>
      </c>
      <c r="F114" s="4" t="s">
        <v>16</v>
      </c>
      <c r="G114" s="4" t="s">
        <v>151</v>
      </c>
      <c r="H114" s="4" t="s">
        <v>131</v>
      </c>
      <c r="I114" s="4" t="s">
        <v>106</v>
      </c>
      <c r="J114" s="4" t="s">
        <v>107</v>
      </c>
      <c r="K114" s="4" t="s">
        <v>100</v>
      </c>
      <c r="L114" s="30" t="n">
        <v>30722</v>
      </c>
      <c r="M114" s="4" t="s">
        <v>132</v>
      </c>
      <c r="N114" s="4" t="s">
        <v>102</v>
      </c>
      <c r="O114" s="4" t="n">
        <v>0</v>
      </c>
      <c r="P114" s="4" t="n">
        <v>0</v>
      </c>
      <c r="Q114" s="4" t="n">
        <v>56</v>
      </c>
      <c r="R114" s="4" t="s">
        <v>17</v>
      </c>
      <c r="S114" s="4" t="s">
        <v>18</v>
      </c>
    </row>
    <row r="115" customFormat="false" ht="15" hidden="false" customHeight="false" outlineLevel="0" collapsed="false">
      <c r="A115" s="11" t="s">
        <v>58</v>
      </c>
      <c r="B115" s="11" t="s">
        <v>49</v>
      </c>
      <c r="C115" s="11" t="s">
        <v>15</v>
      </c>
      <c r="D115" s="11" t="s">
        <v>411</v>
      </c>
      <c r="E115" s="11" t="s">
        <v>95</v>
      </c>
      <c r="F115" s="11" t="s">
        <v>16</v>
      </c>
      <c r="G115" s="11" t="s">
        <v>412</v>
      </c>
      <c r="H115" s="11" t="s">
        <v>413</v>
      </c>
      <c r="I115" s="11" t="s">
        <v>98</v>
      </c>
      <c r="J115" s="11" t="s">
        <v>107</v>
      </c>
      <c r="K115" s="11" t="s">
        <v>100</v>
      </c>
      <c r="L115" s="31" t="n">
        <v>30705</v>
      </c>
      <c r="M115" s="11" t="s">
        <v>132</v>
      </c>
      <c r="N115" s="11" t="s">
        <v>102</v>
      </c>
      <c r="O115" s="11" t="n">
        <v>0</v>
      </c>
      <c r="P115" s="11" t="n">
        <v>0</v>
      </c>
      <c r="Q115" s="11" t="n">
        <v>63</v>
      </c>
      <c r="R115" s="11" t="s">
        <v>17</v>
      </c>
      <c r="S115" s="11" t="s">
        <v>18</v>
      </c>
    </row>
    <row r="116" customFormat="false" ht="15" hidden="false" customHeight="false" outlineLevel="0" collapsed="false">
      <c r="A116" s="4" t="s">
        <v>58</v>
      </c>
      <c r="B116" s="4" t="s">
        <v>37</v>
      </c>
      <c r="C116" s="4" t="s">
        <v>15</v>
      </c>
      <c r="D116" s="4" t="s">
        <v>414</v>
      </c>
      <c r="E116" s="4" t="s">
        <v>95</v>
      </c>
      <c r="F116" s="4" t="s">
        <v>16</v>
      </c>
      <c r="G116" s="4" t="s">
        <v>415</v>
      </c>
      <c r="H116" s="4" t="s">
        <v>416</v>
      </c>
      <c r="I116" s="4" t="s">
        <v>139</v>
      </c>
      <c r="J116" s="4" t="s">
        <v>107</v>
      </c>
      <c r="K116" s="4" t="s">
        <v>100</v>
      </c>
      <c r="L116" s="30" t="n">
        <v>22488</v>
      </c>
      <c r="M116" s="4" t="s">
        <v>180</v>
      </c>
      <c r="N116" s="4" t="s">
        <v>102</v>
      </c>
      <c r="O116" s="4" t="n">
        <v>0</v>
      </c>
      <c r="P116" s="4" t="n">
        <v>0</v>
      </c>
      <c r="Q116" s="4" t="n">
        <v>83</v>
      </c>
      <c r="R116" s="4" t="s">
        <v>17</v>
      </c>
      <c r="S116" s="4" t="s">
        <v>18</v>
      </c>
    </row>
    <row r="117" customFormat="false" ht="15" hidden="false" customHeight="false" outlineLevel="0" collapsed="false">
      <c r="A117" s="11" t="s">
        <v>58</v>
      </c>
      <c r="B117" s="11" t="s">
        <v>38</v>
      </c>
      <c r="C117" s="11" t="s">
        <v>15</v>
      </c>
      <c r="D117" s="11" t="s">
        <v>417</v>
      </c>
      <c r="E117" s="11" t="s">
        <v>95</v>
      </c>
      <c r="F117" s="11" t="s">
        <v>16</v>
      </c>
      <c r="G117" s="11" t="s">
        <v>418</v>
      </c>
      <c r="H117" s="11" t="s">
        <v>419</v>
      </c>
      <c r="I117" s="11" t="s">
        <v>106</v>
      </c>
      <c r="J117" s="11" t="s">
        <v>107</v>
      </c>
      <c r="K117" s="11" t="s">
        <v>100</v>
      </c>
      <c r="L117" s="31" t="n">
        <v>30694</v>
      </c>
      <c r="M117" s="11" t="s">
        <v>132</v>
      </c>
      <c r="N117" s="11" t="s">
        <v>102</v>
      </c>
      <c r="O117" s="11" t="n">
        <v>0</v>
      </c>
      <c r="P117" s="11" t="n">
        <v>0</v>
      </c>
      <c r="Q117" s="11" t="n">
        <v>46</v>
      </c>
      <c r="R117" s="11" t="s">
        <v>17</v>
      </c>
      <c r="S117" s="11" t="s">
        <v>18</v>
      </c>
    </row>
    <row r="118" customFormat="false" ht="15" hidden="false" customHeight="false" outlineLevel="0" collapsed="false">
      <c r="A118" s="4" t="s">
        <v>58</v>
      </c>
      <c r="B118" s="4" t="s">
        <v>39</v>
      </c>
      <c r="C118" s="4" t="s">
        <v>15</v>
      </c>
      <c r="D118" s="4" t="s">
        <v>420</v>
      </c>
      <c r="E118" s="4" t="s">
        <v>95</v>
      </c>
      <c r="F118" s="4" t="s">
        <v>16</v>
      </c>
      <c r="G118" s="4" t="s">
        <v>421</v>
      </c>
      <c r="H118" s="4" t="s">
        <v>422</v>
      </c>
      <c r="I118" s="4" t="s">
        <v>98</v>
      </c>
      <c r="J118" s="4" t="s">
        <v>99</v>
      </c>
      <c r="K118" s="4" t="s">
        <v>100</v>
      </c>
      <c r="L118" s="30" t="n">
        <v>30690</v>
      </c>
      <c r="M118" s="4" t="s">
        <v>132</v>
      </c>
      <c r="N118" s="4" t="s">
        <v>102</v>
      </c>
      <c r="O118" s="4" t="n">
        <v>0</v>
      </c>
      <c r="P118" s="4" t="n">
        <v>0</v>
      </c>
      <c r="Q118" s="4" t="n">
        <v>54</v>
      </c>
      <c r="R118" s="4" t="s">
        <v>17</v>
      </c>
      <c r="S118" s="4" t="s">
        <v>18</v>
      </c>
    </row>
    <row r="119" customFormat="false" ht="15" hidden="false" customHeight="false" outlineLevel="0" collapsed="false">
      <c r="A119" s="11" t="s">
        <v>58</v>
      </c>
      <c r="B119" s="11" t="s">
        <v>40</v>
      </c>
      <c r="C119" s="11" t="s">
        <v>15</v>
      </c>
      <c r="D119" s="11" t="s">
        <v>423</v>
      </c>
      <c r="E119" s="11" t="s">
        <v>424</v>
      </c>
      <c r="F119" s="11" t="s">
        <v>16</v>
      </c>
      <c r="G119" s="11" t="s">
        <v>388</v>
      </c>
      <c r="H119" s="11" t="s">
        <v>425</v>
      </c>
      <c r="I119" s="11" t="s">
        <v>139</v>
      </c>
      <c r="J119" s="11" t="s">
        <v>107</v>
      </c>
      <c r="K119" s="11" t="s">
        <v>100</v>
      </c>
      <c r="L119" s="31" t="n">
        <v>16426</v>
      </c>
      <c r="M119" s="11" t="s">
        <v>132</v>
      </c>
      <c r="N119" s="11" t="s">
        <v>102</v>
      </c>
      <c r="O119" s="11" t="n">
        <v>0</v>
      </c>
      <c r="P119" s="11" t="n">
        <v>0</v>
      </c>
      <c r="Q119" s="11" t="n">
        <v>24</v>
      </c>
      <c r="R119" s="11" t="s">
        <v>17</v>
      </c>
      <c r="S119" s="11" t="s">
        <v>18</v>
      </c>
    </row>
    <row r="120" customFormat="false" ht="15" hidden="false" customHeight="false" outlineLevel="0" collapsed="false">
      <c r="A120" s="4" t="s">
        <v>58</v>
      </c>
      <c r="B120" s="4" t="s">
        <v>41</v>
      </c>
      <c r="C120" s="4" t="s">
        <v>15</v>
      </c>
      <c r="D120" s="4" t="s">
        <v>426</v>
      </c>
      <c r="E120" s="4" t="s">
        <v>95</v>
      </c>
      <c r="F120" s="4" t="s">
        <v>16</v>
      </c>
      <c r="G120" s="4" t="s">
        <v>386</v>
      </c>
      <c r="H120" s="4" t="s">
        <v>419</v>
      </c>
      <c r="I120" s="4" t="s">
        <v>98</v>
      </c>
      <c r="J120" s="4" t="s">
        <v>107</v>
      </c>
      <c r="K120" s="4" t="s">
        <v>100</v>
      </c>
      <c r="L120" s="30" t="n">
        <v>30694</v>
      </c>
      <c r="M120" s="4" t="s">
        <v>180</v>
      </c>
      <c r="N120" s="4" t="s">
        <v>102</v>
      </c>
      <c r="O120" s="4" t="n">
        <v>0</v>
      </c>
      <c r="P120" s="4" t="n">
        <v>0</v>
      </c>
      <c r="Q120" s="4" t="n">
        <v>42</v>
      </c>
      <c r="R120" s="4" t="s">
        <v>17</v>
      </c>
      <c r="S120" s="4" t="s">
        <v>18</v>
      </c>
    </row>
    <row r="121" customFormat="false" ht="15" hidden="false" customHeight="false" outlineLevel="0" collapsed="false">
      <c r="A121" s="11" t="s">
        <v>59</v>
      </c>
      <c r="B121" s="11" t="s">
        <v>14</v>
      </c>
      <c r="C121" s="11" t="s">
        <v>15</v>
      </c>
      <c r="D121" s="11" t="s">
        <v>427</v>
      </c>
      <c r="E121" s="11" t="s">
        <v>428</v>
      </c>
      <c r="F121" s="11" t="s">
        <v>16</v>
      </c>
      <c r="G121" s="11" t="s">
        <v>429</v>
      </c>
      <c r="H121" s="11" t="s">
        <v>430</v>
      </c>
      <c r="I121" s="11" t="s">
        <v>178</v>
      </c>
      <c r="J121" s="11" t="s">
        <v>99</v>
      </c>
      <c r="K121" s="11" t="s">
        <v>100</v>
      </c>
      <c r="L121" s="31" t="n">
        <v>16864</v>
      </c>
      <c r="M121" s="11" t="s">
        <v>132</v>
      </c>
      <c r="N121" s="11" t="s">
        <v>102</v>
      </c>
      <c r="O121" s="11" t="n">
        <v>0</v>
      </c>
      <c r="P121" s="11" t="n">
        <v>0</v>
      </c>
      <c r="Q121" s="11" t="n">
        <v>31</v>
      </c>
      <c r="R121" s="11" t="s">
        <v>17</v>
      </c>
      <c r="S121" s="11" t="s">
        <v>18</v>
      </c>
    </row>
    <row r="122" customFormat="false" ht="15" hidden="false" customHeight="false" outlineLevel="0" collapsed="false">
      <c r="A122" s="4" t="s">
        <v>59</v>
      </c>
      <c r="B122" s="4" t="s">
        <v>20</v>
      </c>
      <c r="C122" s="4" t="s">
        <v>15</v>
      </c>
      <c r="D122" s="4" t="s">
        <v>431</v>
      </c>
      <c r="E122" s="4" t="s">
        <v>428</v>
      </c>
      <c r="F122" s="4" t="s">
        <v>16</v>
      </c>
      <c r="G122" s="4" t="s">
        <v>432</v>
      </c>
      <c r="H122" s="4" t="s">
        <v>306</v>
      </c>
      <c r="I122" s="4" t="s">
        <v>178</v>
      </c>
      <c r="J122" s="4" t="s">
        <v>107</v>
      </c>
      <c r="K122" s="4" t="s">
        <v>100</v>
      </c>
      <c r="L122" s="30" t="n">
        <v>12548</v>
      </c>
      <c r="M122" s="4" t="s">
        <v>101</v>
      </c>
      <c r="N122" s="4" t="s">
        <v>102</v>
      </c>
      <c r="O122" s="4" t="n">
        <v>0</v>
      </c>
      <c r="P122" s="4" t="n">
        <v>0</v>
      </c>
      <c r="Q122" s="4" t="n">
        <v>37</v>
      </c>
      <c r="R122" s="4" t="s">
        <v>17</v>
      </c>
      <c r="S122" s="4" t="s">
        <v>18</v>
      </c>
    </row>
    <row r="123" customFormat="false" ht="15" hidden="false" customHeight="false" outlineLevel="0" collapsed="false">
      <c r="A123" s="11" t="s">
        <v>59</v>
      </c>
      <c r="B123" s="11" t="s">
        <v>21</v>
      </c>
      <c r="C123" s="11" t="s">
        <v>15</v>
      </c>
      <c r="D123" s="11" t="s">
        <v>433</v>
      </c>
      <c r="E123" s="11" t="s">
        <v>428</v>
      </c>
      <c r="F123" s="11" t="s">
        <v>16</v>
      </c>
      <c r="G123" s="11" t="s">
        <v>434</v>
      </c>
      <c r="H123" s="11" t="s">
        <v>207</v>
      </c>
      <c r="I123" s="11" t="s">
        <v>178</v>
      </c>
      <c r="J123" s="11" t="s">
        <v>107</v>
      </c>
      <c r="K123" s="11" t="s">
        <v>100</v>
      </c>
      <c r="L123" s="31" t="n">
        <v>12535</v>
      </c>
      <c r="M123" s="11" t="s">
        <v>101</v>
      </c>
      <c r="N123" s="11" t="s">
        <v>102</v>
      </c>
      <c r="O123" s="11" t="n">
        <v>0</v>
      </c>
      <c r="P123" s="11" t="n">
        <v>0</v>
      </c>
      <c r="Q123" s="11" t="n">
        <v>40</v>
      </c>
      <c r="R123" s="11" t="s">
        <v>17</v>
      </c>
      <c r="S123" s="11" t="s">
        <v>18</v>
      </c>
    </row>
    <row r="124" customFormat="false" ht="15" hidden="false" customHeight="false" outlineLevel="0" collapsed="false">
      <c r="A124" s="4" t="s">
        <v>59</v>
      </c>
      <c r="B124" s="4" t="s">
        <v>22</v>
      </c>
      <c r="C124" s="4" t="s">
        <v>15</v>
      </c>
      <c r="D124" s="4" t="s">
        <v>435</v>
      </c>
      <c r="E124" s="4" t="s">
        <v>428</v>
      </c>
      <c r="F124" s="4" t="s">
        <v>16</v>
      </c>
      <c r="G124" s="4" t="s">
        <v>366</v>
      </c>
      <c r="H124" s="4" t="s">
        <v>436</v>
      </c>
      <c r="I124" s="4" t="s">
        <v>178</v>
      </c>
      <c r="J124" s="4" t="s">
        <v>107</v>
      </c>
      <c r="K124" s="4" t="s">
        <v>100</v>
      </c>
      <c r="L124" s="30" t="n">
        <v>16864</v>
      </c>
      <c r="M124" s="4" t="s">
        <v>101</v>
      </c>
      <c r="N124" s="4" t="s">
        <v>102</v>
      </c>
      <c r="O124" s="4" t="n">
        <v>0</v>
      </c>
      <c r="P124" s="4" t="n">
        <v>0</v>
      </c>
      <c r="Q124" s="4" t="n">
        <v>22</v>
      </c>
      <c r="R124" s="4" t="s">
        <v>17</v>
      </c>
      <c r="S124" s="4" t="s">
        <v>18</v>
      </c>
    </row>
    <row r="125" customFormat="false" ht="15" hidden="false" customHeight="false" outlineLevel="0" collapsed="false">
      <c r="A125" s="11" t="s">
        <v>59</v>
      </c>
      <c r="B125" s="11" t="s">
        <v>23</v>
      </c>
      <c r="C125" s="11" t="s">
        <v>15</v>
      </c>
      <c r="D125" s="11" t="s">
        <v>437</v>
      </c>
      <c r="E125" s="11" t="s">
        <v>428</v>
      </c>
      <c r="F125" s="11" t="s">
        <v>16</v>
      </c>
      <c r="G125" s="11" t="s">
        <v>250</v>
      </c>
      <c r="H125" s="11" t="s">
        <v>348</v>
      </c>
      <c r="I125" s="11" t="s">
        <v>139</v>
      </c>
      <c r="J125" s="11" t="s">
        <v>99</v>
      </c>
      <c r="K125" s="11" t="s">
        <v>100</v>
      </c>
      <c r="L125" s="31" t="n">
        <v>12538</v>
      </c>
      <c r="M125" s="11" t="s">
        <v>101</v>
      </c>
      <c r="N125" s="11" t="s">
        <v>102</v>
      </c>
      <c r="O125" s="11" t="n">
        <v>0</v>
      </c>
      <c r="P125" s="11" t="n">
        <v>0</v>
      </c>
      <c r="Q125" s="11" t="n">
        <v>7</v>
      </c>
      <c r="R125" s="11" t="s">
        <v>17</v>
      </c>
      <c r="S125" s="11" t="s">
        <v>18</v>
      </c>
    </row>
    <row r="126" customFormat="false" ht="15" hidden="false" customHeight="false" outlineLevel="0" collapsed="false">
      <c r="A126" s="4" t="s">
        <v>59</v>
      </c>
      <c r="B126" s="4" t="s">
        <v>24</v>
      </c>
      <c r="C126" s="4" t="s">
        <v>15</v>
      </c>
      <c r="D126" s="4" t="s">
        <v>438</v>
      </c>
      <c r="E126" s="4" t="s">
        <v>428</v>
      </c>
      <c r="F126" s="4" t="s">
        <v>16</v>
      </c>
      <c r="G126" s="4" t="s">
        <v>415</v>
      </c>
      <c r="H126" s="4" t="s">
        <v>439</v>
      </c>
      <c r="I126" s="4" t="s">
        <v>178</v>
      </c>
      <c r="J126" s="4" t="s">
        <v>107</v>
      </c>
      <c r="K126" s="4" t="s">
        <v>100</v>
      </c>
      <c r="L126" s="30" t="n">
        <v>12541</v>
      </c>
      <c r="M126" s="4" t="s">
        <v>101</v>
      </c>
      <c r="N126" s="4" t="s">
        <v>102</v>
      </c>
      <c r="O126" s="4" t="n">
        <v>0</v>
      </c>
      <c r="P126" s="4" t="n">
        <v>0</v>
      </c>
      <c r="Q126" s="4" t="n">
        <v>45</v>
      </c>
      <c r="R126" s="4" t="s">
        <v>17</v>
      </c>
      <c r="S126" s="4" t="s">
        <v>18</v>
      </c>
    </row>
    <row r="127" customFormat="false" ht="15" hidden="false" customHeight="false" outlineLevel="0" collapsed="false">
      <c r="A127" s="11" t="s">
        <v>59</v>
      </c>
      <c r="B127" s="11" t="s">
        <v>25</v>
      </c>
      <c r="C127" s="11" t="s">
        <v>15</v>
      </c>
      <c r="D127" s="11" t="s">
        <v>440</v>
      </c>
      <c r="E127" s="11" t="s">
        <v>428</v>
      </c>
      <c r="F127" s="11" t="s">
        <v>16</v>
      </c>
      <c r="G127" s="11" t="s">
        <v>441</v>
      </c>
      <c r="H127" s="11" t="s">
        <v>442</v>
      </c>
      <c r="I127" s="11" t="s">
        <v>178</v>
      </c>
      <c r="J127" s="11" t="s">
        <v>99</v>
      </c>
      <c r="K127" s="11" t="s">
        <v>100</v>
      </c>
      <c r="L127" s="31" t="n">
        <v>16861</v>
      </c>
      <c r="M127" s="11" t="s">
        <v>101</v>
      </c>
      <c r="N127" s="11" t="s">
        <v>102</v>
      </c>
      <c r="O127" s="11" t="n">
        <v>0</v>
      </c>
      <c r="P127" s="11" t="n">
        <v>0</v>
      </c>
      <c r="Q127" s="11" t="n">
        <v>53</v>
      </c>
      <c r="R127" s="11" t="s">
        <v>17</v>
      </c>
      <c r="S127" s="11" t="s">
        <v>18</v>
      </c>
    </row>
    <row r="128" customFormat="false" ht="15" hidden="false" customHeight="false" outlineLevel="0" collapsed="false">
      <c r="A128" s="4" t="s">
        <v>59</v>
      </c>
      <c r="B128" s="4" t="s">
        <v>26</v>
      </c>
      <c r="C128" s="4" t="s">
        <v>15</v>
      </c>
      <c r="D128" s="4" t="s">
        <v>443</v>
      </c>
      <c r="E128" s="4" t="s">
        <v>428</v>
      </c>
      <c r="F128" s="4" t="s">
        <v>16</v>
      </c>
      <c r="G128" s="4" t="s">
        <v>444</v>
      </c>
      <c r="H128" s="4" t="s">
        <v>445</v>
      </c>
      <c r="I128" s="4" t="s">
        <v>178</v>
      </c>
      <c r="J128" s="4" t="s">
        <v>99</v>
      </c>
      <c r="K128" s="4" t="s">
        <v>100</v>
      </c>
      <c r="L128" s="30" t="n">
        <v>16862</v>
      </c>
      <c r="M128" s="4" t="s">
        <v>132</v>
      </c>
      <c r="N128" s="4" t="s">
        <v>102</v>
      </c>
      <c r="O128" s="4" t="n">
        <v>0</v>
      </c>
      <c r="P128" s="4" t="n">
        <v>0</v>
      </c>
      <c r="Q128" s="4" t="n">
        <v>53</v>
      </c>
      <c r="R128" s="4" t="s">
        <v>17</v>
      </c>
      <c r="S128" s="4" t="s">
        <v>18</v>
      </c>
    </row>
    <row r="129" customFormat="false" ht="15" hidden="false" customHeight="false" outlineLevel="0" collapsed="false">
      <c r="A129" s="11" t="s">
        <v>59</v>
      </c>
      <c r="B129" s="11" t="s">
        <v>27</v>
      </c>
      <c r="C129" s="11" t="s">
        <v>15</v>
      </c>
      <c r="D129" s="11" t="s">
        <v>446</v>
      </c>
      <c r="E129" s="11" t="s">
        <v>428</v>
      </c>
      <c r="F129" s="11" t="s">
        <v>16</v>
      </c>
      <c r="G129" s="11" t="s">
        <v>213</v>
      </c>
      <c r="H129" s="11" t="s">
        <v>447</v>
      </c>
      <c r="I129" s="11" t="s">
        <v>178</v>
      </c>
      <c r="J129" s="11" t="s">
        <v>99</v>
      </c>
      <c r="K129" s="11" t="s">
        <v>100</v>
      </c>
      <c r="L129" s="31" t="n">
        <v>16861</v>
      </c>
      <c r="M129" s="11" t="s">
        <v>180</v>
      </c>
      <c r="N129" s="11" t="s">
        <v>102</v>
      </c>
      <c r="O129" s="11" t="n">
        <v>0</v>
      </c>
      <c r="P129" s="11" t="n">
        <v>0</v>
      </c>
      <c r="Q129" s="11" t="n">
        <v>53</v>
      </c>
      <c r="R129" s="11" t="s">
        <v>17</v>
      </c>
      <c r="S129" s="11" t="s">
        <v>18</v>
      </c>
    </row>
    <row r="130" customFormat="false" ht="15" hidden="false" customHeight="false" outlineLevel="0" collapsed="false">
      <c r="A130" s="4" t="s">
        <v>59</v>
      </c>
      <c r="B130" s="4" t="s">
        <v>28</v>
      </c>
      <c r="C130" s="4" t="s">
        <v>15</v>
      </c>
      <c r="D130" s="4" t="s">
        <v>448</v>
      </c>
      <c r="E130" s="4" t="s">
        <v>428</v>
      </c>
      <c r="F130" s="4" t="s">
        <v>16</v>
      </c>
      <c r="G130" s="4" t="s">
        <v>449</v>
      </c>
      <c r="H130" s="4" t="s">
        <v>450</v>
      </c>
      <c r="I130" s="4" t="s">
        <v>178</v>
      </c>
      <c r="J130" s="4" t="s">
        <v>107</v>
      </c>
      <c r="K130" s="4" t="s">
        <v>100</v>
      </c>
      <c r="L130" s="30" t="n">
        <v>12535</v>
      </c>
      <c r="M130" s="4" t="s">
        <v>132</v>
      </c>
      <c r="N130" s="4" t="s">
        <v>102</v>
      </c>
      <c r="O130" s="4" t="n">
        <v>0</v>
      </c>
      <c r="P130" s="4" t="n">
        <v>0</v>
      </c>
      <c r="Q130" s="4" t="n">
        <v>2</v>
      </c>
      <c r="R130" s="4" t="s">
        <v>17</v>
      </c>
      <c r="S130" s="4" t="s">
        <v>18</v>
      </c>
    </row>
    <row r="131" customFormat="false" ht="15" hidden="false" customHeight="false" outlineLevel="0" collapsed="false">
      <c r="A131" s="11" t="s">
        <v>59</v>
      </c>
      <c r="B131" s="11" t="s">
        <v>29</v>
      </c>
      <c r="C131" s="11" t="s">
        <v>15</v>
      </c>
      <c r="D131" s="11" t="s">
        <v>451</v>
      </c>
      <c r="E131" s="11" t="s">
        <v>428</v>
      </c>
      <c r="F131" s="11" t="s">
        <v>16</v>
      </c>
      <c r="G131" s="11" t="s">
        <v>415</v>
      </c>
      <c r="H131" s="11" t="s">
        <v>254</v>
      </c>
      <c r="I131" s="11" t="s">
        <v>178</v>
      </c>
      <c r="J131" s="11" t="s">
        <v>107</v>
      </c>
      <c r="K131" s="11" t="s">
        <v>100</v>
      </c>
      <c r="L131" s="31" t="n">
        <v>12548</v>
      </c>
      <c r="M131" s="11" t="s">
        <v>101</v>
      </c>
      <c r="N131" s="11" t="s">
        <v>102</v>
      </c>
      <c r="O131" s="11" t="n">
        <v>0</v>
      </c>
      <c r="P131" s="11" t="n">
        <v>0</v>
      </c>
      <c r="Q131" s="11" t="n">
        <v>37</v>
      </c>
      <c r="R131" s="11" t="s">
        <v>17</v>
      </c>
      <c r="S131" s="11" t="s">
        <v>18</v>
      </c>
    </row>
    <row r="132" customFormat="false" ht="15" hidden="false" customHeight="false" outlineLevel="0" collapsed="false">
      <c r="A132" s="4" t="s">
        <v>59</v>
      </c>
      <c r="B132" s="4" t="s">
        <v>30</v>
      </c>
      <c r="C132" s="4" t="s">
        <v>15</v>
      </c>
      <c r="D132" s="4" t="s">
        <v>452</v>
      </c>
      <c r="E132" s="4" t="s">
        <v>428</v>
      </c>
      <c r="F132" s="4" t="s">
        <v>16</v>
      </c>
      <c r="G132" s="4" t="s">
        <v>453</v>
      </c>
      <c r="H132" s="4" t="s">
        <v>454</v>
      </c>
      <c r="I132" s="4" t="s">
        <v>178</v>
      </c>
      <c r="J132" s="4" t="s">
        <v>107</v>
      </c>
      <c r="K132" s="4" t="s">
        <v>100</v>
      </c>
      <c r="L132" s="30" t="n">
        <v>12541</v>
      </c>
      <c r="M132" s="4" t="s">
        <v>101</v>
      </c>
      <c r="N132" s="4" t="s">
        <v>102</v>
      </c>
      <c r="O132" s="4" t="n">
        <v>0</v>
      </c>
      <c r="P132" s="4" t="n">
        <v>0</v>
      </c>
      <c r="Q132" s="4" t="n">
        <v>47</v>
      </c>
      <c r="R132" s="4" t="s">
        <v>17</v>
      </c>
      <c r="S132" s="4" t="s">
        <v>18</v>
      </c>
    </row>
    <row r="133" customFormat="false" ht="15" hidden="false" customHeight="false" outlineLevel="0" collapsed="false">
      <c r="A133" s="11" t="s">
        <v>59</v>
      </c>
      <c r="B133" s="11" t="s">
        <v>31</v>
      </c>
      <c r="C133" s="11" t="s">
        <v>15</v>
      </c>
      <c r="D133" s="11" t="s">
        <v>455</v>
      </c>
      <c r="E133" s="11" t="s">
        <v>428</v>
      </c>
      <c r="F133" s="11" t="s">
        <v>16</v>
      </c>
      <c r="G133" s="11" t="s">
        <v>159</v>
      </c>
      <c r="H133" s="11" t="s">
        <v>456</v>
      </c>
      <c r="I133" s="11" t="s">
        <v>178</v>
      </c>
      <c r="J133" s="11" t="s">
        <v>99</v>
      </c>
      <c r="K133" s="11" t="s">
        <v>100</v>
      </c>
      <c r="L133" s="31" t="n">
        <v>16862</v>
      </c>
      <c r="M133" s="11" t="s">
        <v>101</v>
      </c>
      <c r="N133" s="11" t="s">
        <v>102</v>
      </c>
      <c r="O133" s="11" t="n">
        <v>0</v>
      </c>
      <c r="P133" s="11" t="n">
        <v>0</v>
      </c>
      <c r="Q133" s="11" t="n">
        <v>4</v>
      </c>
      <c r="R133" s="11" t="s">
        <v>17</v>
      </c>
      <c r="S133" s="11" t="s">
        <v>18</v>
      </c>
    </row>
    <row r="134" customFormat="false" ht="15" hidden="false" customHeight="false" outlineLevel="0" collapsed="false">
      <c r="A134" s="4" t="s">
        <v>59</v>
      </c>
      <c r="B134" s="4" t="s">
        <v>32</v>
      </c>
      <c r="C134" s="4" t="s">
        <v>15</v>
      </c>
      <c r="D134" s="4" t="s">
        <v>457</v>
      </c>
      <c r="E134" s="4" t="s">
        <v>428</v>
      </c>
      <c r="F134" s="4" t="s">
        <v>16</v>
      </c>
      <c r="G134" s="4" t="s">
        <v>458</v>
      </c>
      <c r="H134" s="4" t="s">
        <v>447</v>
      </c>
      <c r="I134" s="4" t="s">
        <v>178</v>
      </c>
      <c r="J134" s="4" t="s">
        <v>99</v>
      </c>
      <c r="K134" s="4" t="s">
        <v>100</v>
      </c>
      <c r="L134" s="30" t="n">
        <v>16863</v>
      </c>
      <c r="M134" s="4" t="s">
        <v>132</v>
      </c>
      <c r="N134" s="4" t="s">
        <v>102</v>
      </c>
      <c r="O134" s="4" t="n">
        <v>0</v>
      </c>
      <c r="P134" s="4" t="n">
        <v>0</v>
      </c>
      <c r="Q134" s="4" t="n">
        <v>0</v>
      </c>
      <c r="R134" s="4" t="s">
        <v>17</v>
      </c>
      <c r="S134" s="4" t="s">
        <v>18</v>
      </c>
    </row>
    <row r="135" customFormat="false" ht="15" hidden="false" customHeight="false" outlineLevel="0" collapsed="false">
      <c r="A135" s="11" t="s">
        <v>59</v>
      </c>
      <c r="B135" s="11" t="s">
        <v>33</v>
      </c>
      <c r="C135" s="11" t="s">
        <v>15</v>
      </c>
      <c r="D135" s="11" t="s">
        <v>459</v>
      </c>
      <c r="E135" s="11" t="s">
        <v>428</v>
      </c>
      <c r="F135" s="11" t="s">
        <v>16</v>
      </c>
      <c r="G135" s="11" t="s">
        <v>460</v>
      </c>
      <c r="H135" s="11" t="s">
        <v>461</v>
      </c>
      <c r="I135" s="11" t="s">
        <v>178</v>
      </c>
      <c r="J135" s="11" t="s">
        <v>99</v>
      </c>
      <c r="K135" s="11" t="s">
        <v>100</v>
      </c>
      <c r="L135" s="31" t="n">
        <v>16864</v>
      </c>
      <c r="M135" s="11" t="s">
        <v>132</v>
      </c>
      <c r="N135" s="11" t="s">
        <v>102</v>
      </c>
      <c r="O135" s="11" t="n">
        <v>0</v>
      </c>
      <c r="P135" s="11" t="n">
        <v>0</v>
      </c>
      <c r="Q135" s="11" t="n">
        <v>34</v>
      </c>
      <c r="R135" s="11" t="s">
        <v>17</v>
      </c>
      <c r="S135" s="11" t="s">
        <v>18</v>
      </c>
    </row>
    <row r="136" customFormat="false" ht="15" hidden="false" customHeight="false" outlineLevel="0" collapsed="false">
      <c r="A136" s="4" t="s">
        <v>59</v>
      </c>
      <c r="B136" s="4" t="s">
        <v>34</v>
      </c>
      <c r="C136" s="4" t="s">
        <v>15</v>
      </c>
      <c r="D136" s="4" t="s">
        <v>462</v>
      </c>
      <c r="E136" s="4" t="s">
        <v>428</v>
      </c>
      <c r="F136" s="4" t="s">
        <v>16</v>
      </c>
      <c r="G136" s="4" t="s">
        <v>206</v>
      </c>
      <c r="H136" s="4" t="s">
        <v>463</v>
      </c>
      <c r="I136" s="4" t="s">
        <v>178</v>
      </c>
      <c r="J136" s="4" t="s">
        <v>99</v>
      </c>
      <c r="K136" s="4" t="s">
        <v>100</v>
      </c>
      <c r="L136" s="30" t="n">
        <v>12535</v>
      </c>
      <c r="M136" s="4" t="s">
        <v>128</v>
      </c>
      <c r="N136" s="4" t="s">
        <v>102</v>
      </c>
      <c r="O136" s="4" t="n">
        <v>0</v>
      </c>
      <c r="P136" s="4" t="n">
        <v>0</v>
      </c>
      <c r="Q136" s="4" t="n">
        <v>43</v>
      </c>
      <c r="R136" s="4" t="s">
        <v>17</v>
      </c>
      <c r="S136" s="4" t="s">
        <v>18</v>
      </c>
    </row>
    <row r="137" customFormat="false" ht="15" hidden="false" customHeight="false" outlineLevel="0" collapsed="false">
      <c r="A137" s="11" t="s">
        <v>59</v>
      </c>
      <c r="B137" s="11" t="s">
        <v>35</v>
      </c>
      <c r="C137" s="11" t="s">
        <v>15</v>
      </c>
      <c r="D137" s="11" t="s">
        <v>464</v>
      </c>
      <c r="E137" s="11" t="s">
        <v>428</v>
      </c>
      <c r="F137" s="11" t="s">
        <v>16</v>
      </c>
      <c r="G137" s="11" t="s">
        <v>193</v>
      </c>
      <c r="H137" s="11" t="s">
        <v>465</v>
      </c>
      <c r="I137" s="11" t="s">
        <v>178</v>
      </c>
      <c r="J137" s="11" t="s">
        <v>107</v>
      </c>
      <c r="K137" s="11" t="s">
        <v>100</v>
      </c>
      <c r="L137" s="31" t="n">
        <v>16865</v>
      </c>
      <c r="M137" s="11" t="s">
        <v>132</v>
      </c>
      <c r="N137" s="11" t="s">
        <v>102</v>
      </c>
      <c r="O137" s="11" t="n">
        <v>0</v>
      </c>
      <c r="P137" s="11" t="n">
        <v>0</v>
      </c>
      <c r="Q137" s="11" t="n">
        <v>0</v>
      </c>
      <c r="R137" s="11" t="s">
        <v>17</v>
      </c>
      <c r="S137" s="11" t="s">
        <v>18</v>
      </c>
    </row>
    <row r="138" customFormat="false" ht="15" hidden="false" customHeight="false" outlineLevel="0" collapsed="false">
      <c r="A138" s="4" t="s">
        <v>59</v>
      </c>
      <c r="B138" s="4" t="s">
        <v>36</v>
      </c>
      <c r="C138" s="4" t="s">
        <v>15</v>
      </c>
      <c r="D138" s="4" t="s">
        <v>466</v>
      </c>
      <c r="E138" s="4" t="s">
        <v>428</v>
      </c>
      <c r="F138" s="4" t="s">
        <v>16</v>
      </c>
      <c r="G138" s="4" t="s">
        <v>337</v>
      </c>
      <c r="H138" s="4" t="s">
        <v>467</v>
      </c>
      <c r="I138" s="4" t="s">
        <v>178</v>
      </c>
      <c r="J138" s="4" t="s">
        <v>107</v>
      </c>
      <c r="K138" s="4" t="s">
        <v>100</v>
      </c>
      <c r="L138" s="30" t="n">
        <v>16864</v>
      </c>
      <c r="M138" s="4" t="s">
        <v>101</v>
      </c>
      <c r="N138" s="4" t="s">
        <v>102</v>
      </c>
      <c r="O138" s="4" t="n">
        <v>0</v>
      </c>
      <c r="P138" s="4" t="n">
        <v>0</v>
      </c>
      <c r="Q138" s="4" t="n">
        <v>45</v>
      </c>
      <c r="R138" s="4" t="s">
        <v>17</v>
      </c>
      <c r="S138" s="4" t="s">
        <v>18</v>
      </c>
    </row>
    <row r="139" customFormat="false" ht="15" hidden="false" customHeight="false" outlineLevel="0" collapsed="false">
      <c r="A139" s="11" t="s">
        <v>59</v>
      </c>
      <c r="B139" s="11" t="s">
        <v>49</v>
      </c>
      <c r="C139" s="11" t="s">
        <v>15</v>
      </c>
      <c r="D139" s="11" t="s">
        <v>468</v>
      </c>
      <c r="E139" s="11" t="s">
        <v>428</v>
      </c>
      <c r="F139" s="11" t="s">
        <v>16</v>
      </c>
      <c r="G139" s="11" t="s">
        <v>434</v>
      </c>
      <c r="H139" s="11" t="s">
        <v>469</v>
      </c>
      <c r="I139" s="11" t="s">
        <v>178</v>
      </c>
      <c r="J139" s="11" t="s">
        <v>107</v>
      </c>
      <c r="K139" s="11" t="s">
        <v>100</v>
      </c>
      <c r="L139" s="31" t="n">
        <v>16623</v>
      </c>
      <c r="M139" s="11" t="s">
        <v>101</v>
      </c>
      <c r="N139" s="11" t="s">
        <v>102</v>
      </c>
      <c r="O139" s="11" t="n">
        <v>0</v>
      </c>
      <c r="P139" s="11" t="n">
        <v>0</v>
      </c>
      <c r="Q139" s="11" t="n">
        <v>37</v>
      </c>
      <c r="R139" s="11" t="s">
        <v>17</v>
      </c>
      <c r="S139" s="11" t="s">
        <v>18</v>
      </c>
    </row>
    <row r="140" customFormat="false" ht="15" hidden="false" customHeight="false" outlineLevel="0" collapsed="false">
      <c r="A140" s="4" t="s">
        <v>59</v>
      </c>
      <c r="B140" s="4" t="s">
        <v>37</v>
      </c>
      <c r="C140" s="4" t="s">
        <v>15</v>
      </c>
      <c r="D140" s="4" t="s">
        <v>470</v>
      </c>
      <c r="E140" s="4" t="s">
        <v>428</v>
      </c>
      <c r="F140" s="4" t="s">
        <v>16</v>
      </c>
      <c r="G140" s="4" t="s">
        <v>265</v>
      </c>
      <c r="H140" s="4" t="s">
        <v>471</v>
      </c>
      <c r="I140" s="4" t="s">
        <v>178</v>
      </c>
      <c r="J140" s="4" t="s">
        <v>107</v>
      </c>
      <c r="K140" s="4" t="s">
        <v>100</v>
      </c>
      <c r="L140" s="30" t="n">
        <v>12542</v>
      </c>
      <c r="M140" s="4" t="s">
        <v>101</v>
      </c>
      <c r="N140" s="4" t="s">
        <v>102</v>
      </c>
      <c r="O140" s="4" t="n">
        <v>0</v>
      </c>
      <c r="P140" s="4" t="n">
        <v>0</v>
      </c>
      <c r="Q140" s="4" t="n">
        <v>1</v>
      </c>
      <c r="R140" s="4" t="s">
        <v>17</v>
      </c>
      <c r="S140" s="4" t="s">
        <v>18</v>
      </c>
    </row>
    <row r="141" customFormat="false" ht="15" hidden="false" customHeight="false" outlineLevel="0" collapsed="false">
      <c r="A141" s="11" t="s">
        <v>59</v>
      </c>
      <c r="B141" s="11" t="s">
        <v>38</v>
      </c>
      <c r="C141" s="11" t="s">
        <v>15</v>
      </c>
      <c r="D141" s="11" t="s">
        <v>472</v>
      </c>
      <c r="E141" s="11" t="s">
        <v>428</v>
      </c>
      <c r="F141" s="11" t="s">
        <v>16</v>
      </c>
      <c r="G141" s="11" t="s">
        <v>473</v>
      </c>
      <c r="H141" s="11" t="s">
        <v>474</v>
      </c>
      <c r="I141" s="11" t="s">
        <v>178</v>
      </c>
      <c r="J141" s="11" t="s">
        <v>107</v>
      </c>
      <c r="K141" s="11" t="s">
        <v>100</v>
      </c>
      <c r="L141" s="31" t="n">
        <v>12535</v>
      </c>
      <c r="M141" s="11" t="s">
        <v>101</v>
      </c>
      <c r="N141" s="11" t="s">
        <v>102</v>
      </c>
      <c r="O141" s="11" t="n">
        <v>0</v>
      </c>
      <c r="P141" s="11" t="n">
        <v>0</v>
      </c>
      <c r="Q141" s="11" t="n">
        <v>40</v>
      </c>
      <c r="R141" s="11" t="s">
        <v>17</v>
      </c>
      <c r="S141" s="11" t="s">
        <v>18</v>
      </c>
    </row>
    <row r="142" customFormat="false" ht="15" hidden="false" customHeight="false" outlineLevel="0" collapsed="false">
      <c r="A142" s="4" t="s">
        <v>59</v>
      </c>
      <c r="B142" s="4" t="s">
        <v>39</v>
      </c>
      <c r="C142" s="4" t="s">
        <v>15</v>
      </c>
      <c r="D142" s="4" t="s">
        <v>475</v>
      </c>
      <c r="E142" s="4" t="s">
        <v>428</v>
      </c>
      <c r="F142" s="4" t="s">
        <v>16</v>
      </c>
      <c r="G142" s="4" t="s">
        <v>312</v>
      </c>
      <c r="H142" s="4" t="s">
        <v>476</v>
      </c>
      <c r="I142" s="4" t="s">
        <v>178</v>
      </c>
      <c r="J142" s="4" t="s">
        <v>107</v>
      </c>
      <c r="K142" s="4" t="s">
        <v>100</v>
      </c>
      <c r="L142" s="30" t="n">
        <v>12548</v>
      </c>
      <c r="M142" s="4" t="s">
        <v>101</v>
      </c>
      <c r="N142" s="4" t="s">
        <v>102</v>
      </c>
      <c r="O142" s="4" t="n">
        <v>0</v>
      </c>
      <c r="P142" s="4" t="n">
        <v>0</v>
      </c>
      <c r="Q142" s="4" t="n">
        <v>37</v>
      </c>
      <c r="R142" s="4" t="s">
        <v>17</v>
      </c>
      <c r="S142" s="4" t="s">
        <v>18</v>
      </c>
    </row>
    <row r="143" customFormat="false" ht="15" hidden="false" customHeight="false" outlineLevel="0" collapsed="false">
      <c r="A143" s="11" t="s">
        <v>59</v>
      </c>
      <c r="B143" s="11" t="s">
        <v>40</v>
      </c>
      <c r="C143" s="11" t="s">
        <v>15</v>
      </c>
      <c r="D143" s="11" t="s">
        <v>477</v>
      </c>
      <c r="E143" s="11" t="s">
        <v>428</v>
      </c>
      <c r="F143" s="11" t="s">
        <v>16</v>
      </c>
      <c r="G143" s="11" t="s">
        <v>317</v>
      </c>
      <c r="H143" s="11" t="s">
        <v>478</v>
      </c>
      <c r="I143" s="11" t="s">
        <v>178</v>
      </c>
      <c r="J143" s="11" t="s">
        <v>107</v>
      </c>
      <c r="K143" s="11" t="s">
        <v>100</v>
      </c>
      <c r="L143" s="31" t="n">
        <v>12542</v>
      </c>
      <c r="M143" s="11" t="s">
        <v>101</v>
      </c>
      <c r="N143" s="11" t="s">
        <v>102</v>
      </c>
      <c r="O143" s="11" t="n">
        <v>0</v>
      </c>
      <c r="P143" s="11" t="n">
        <v>0</v>
      </c>
      <c r="Q143" s="11" t="n">
        <v>45</v>
      </c>
      <c r="R143" s="11" t="s">
        <v>17</v>
      </c>
      <c r="S143" s="11" t="s">
        <v>18</v>
      </c>
    </row>
    <row r="144" customFormat="false" ht="15" hidden="false" customHeight="false" outlineLevel="0" collapsed="false">
      <c r="A144" s="4" t="s">
        <v>59</v>
      </c>
      <c r="B144" s="4" t="s">
        <v>41</v>
      </c>
      <c r="C144" s="4" t="s">
        <v>15</v>
      </c>
      <c r="D144" s="4" t="s">
        <v>479</v>
      </c>
      <c r="E144" s="4" t="s">
        <v>428</v>
      </c>
      <c r="F144" s="4" t="s">
        <v>16</v>
      </c>
      <c r="G144" s="4" t="s">
        <v>209</v>
      </c>
      <c r="H144" s="4" t="s">
        <v>315</v>
      </c>
      <c r="I144" s="4" t="s">
        <v>178</v>
      </c>
      <c r="J144" s="4" t="s">
        <v>99</v>
      </c>
      <c r="K144" s="4" t="s">
        <v>100</v>
      </c>
      <c r="L144" s="30" t="n">
        <v>13093</v>
      </c>
      <c r="M144" s="4" t="s">
        <v>132</v>
      </c>
      <c r="N144" s="4" t="s">
        <v>102</v>
      </c>
      <c r="O144" s="4" t="n">
        <v>0</v>
      </c>
      <c r="P144" s="4" t="n">
        <v>0</v>
      </c>
      <c r="Q144" s="4" t="n">
        <v>20</v>
      </c>
      <c r="R144" s="4" t="s">
        <v>17</v>
      </c>
      <c r="S144" s="4" t="s">
        <v>18</v>
      </c>
    </row>
  </sheetData>
  <autoFilter ref="A1:S1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2026-05-25T05:08:59Z</dcterms:created>
  <dc:creator>openpyxl</dc:creator>
  <dc:description/>
  <dc:language>en-US</dc:language>
  <cp:lastModifiedBy/>
  <dcterms:modified xsi:type="dcterms:W3CDTF">2026-05-25T05:08:59Z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